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D\add-outputs\HOIpTP\"/>
    </mc:Choice>
  </mc:AlternateContent>
  <xr:revisionPtr revIDLastSave="0" documentId="8_{9D3A22D1-CBF5-483F-BF30-9A968C02238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U7" i="19"/>
  <c r="L7" i="19"/>
  <c r="B7" i="19"/>
  <c r="AA7" i="19" s="1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Z3" i="19"/>
  <c r="V3" i="19"/>
  <c r="Q3" i="19"/>
  <c r="F3" i="19"/>
  <c r="E3" i="19"/>
  <c r="B3" i="19"/>
  <c r="O3" i="19" s="1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R17" i="18"/>
  <c r="Q17" i="18"/>
  <c r="M17" i="18"/>
  <c r="I17" i="18"/>
  <c r="B17" i="18"/>
  <c r="X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B15" i="18"/>
  <c r="D15" i="18" s="1"/>
  <c r="AA14" i="18"/>
  <c r="Y14" i="18"/>
  <c r="R14" i="18"/>
  <c r="H14" i="18"/>
  <c r="B14" i="18"/>
  <c r="AB14" i="18" s="1"/>
  <c r="B13" i="18"/>
  <c r="Q13" i="18" s="1"/>
  <c r="B12" i="18"/>
  <c r="X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Y8" i="18"/>
  <c r="X8" i="18"/>
  <c r="V8" i="18"/>
  <c r="U8" i="18"/>
  <c r="Q8" i="18"/>
  <c r="N8" i="18"/>
  <c r="M8" i="18"/>
  <c r="E8" i="18"/>
  <c r="B8" i="18"/>
  <c r="AA8" i="18" s="1"/>
  <c r="AA7" i="18"/>
  <c r="H7" i="18"/>
  <c r="D7" i="18"/>
  <c r="C7" i="18"/>
  <c r="B7" i="18"/>
  <c r="AB7" i="18" s="1"/>
  <c r="P6" i="18"/>
  <c r="O6" i="18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B3" i="18"/>
  <c r="Z2" i="18"/>
  <c r="Y2" i="18"/>
  <c r="V2" i="18"/>
  <c r="U2" i="18"/>
  <c r="P2" i="18"/>
  <c r="O2" i="18"/>
  <c r="K2" i="18"/>
  <c r="J2" i="18"/>
  <c r="D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X17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C15" i="17"/>
  <c r="B15" i="17"/>
  <c r="M15" i="17" s="1"/>
  <c r="B14" i="17"/>
  <c r="C14" i="17" s="1"/>
  <c r="X13" i="17"/>
  <c r="W13" i="17"/>
  <c r="S13" i="17"/>
  <c r="R13" i="17"/>
  <c r="Q13" i="17"/>
  <c r="C13" i="17"/>
  <c r="B13" i="17"/>
  <c r="AA13" i="17" s="1"/>
  <c r="Y12" i="17"/>
  <c r="P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S8" i="17"/>
  <c r="R8" i="17"/>
  <c r="P8" i="17"/>
  <c r="O8" i="17"/>
  <c r="F8" i="17"/>
  <c r="D8" i="17"/>
  <c r="C8" i="17"/>
  <c r="B8" i="17"/>
  <c r="AB8" i="17" s="1"/>
  <c r="Z7" i="17"/>
  <c r="X7" i="17"/>
  <c r="W7" i="17"/>
  <c r="U7" i="17"/>
  <c r="T7" i="17"/>
  <c r="S7" i="17"/>
  <c r="O7" i="17"/>
  <c r="K7" i="17"/>
  <c r="H7" i="17"/>
  <c r="G7" i="17"/>
  <c r="B7" i="17"/>
  <c r="Y7" i="17" s="1"/>
  <c r="Q6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L2" i="17"/>
  <c r="J2" i="17"/>
  <c r="B2" i="17"/>
  <c r="Z2" i="17" s="1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AB17" i="16"/>
  <c r="Y17" i="16"/>
  <c r="U17" i="16"/>
  <c r="R17" i="16"/>
  <c r="H17" i="16"/>
  <c r="G17" i="16"/>
  <c r="D17" i="16"/>
  <c r="B17" i="16"/>
  <c r="V17" i="16" s="1"/>
  <c r="B16" i="16"/>
  <c r="AA15" i="16"/>
  <c r="X15" i="16"/>
  <c r="K15" i="16"/>
  <c r="B15" i="16"/>
  <c r="Y15" i="16" s="1"/>
  <c r="G14" i="16"/>
  <c r="F14" i="16"/>
  <c r="C14" i="16"/>
  <c r="B14" i="16"/>
  <c r="AB14" i="16" s="1"/>
  <c r="X13" i="16"/>
  <c r="J13" i="16"/>
  <c r="D13" i="16"/>
  <c r="B13" i="16"/>
  <c r="W13" i="16" s="1"/>
  <c r="C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O7" i="16"/>
  <c r="M7" i="16"/>
  <c r="H7" i="16"/>
  <c r="B7" i="16"/>
  <c r="W6" i="16"/>
  <c r="V6" i="16"/>
  <c r="T6" i="16"/>
  <c r="S6" i="16"/>
  <c r="Q6" i="16"/>
  <c r="M6" i="16"/>
  <c r="L6" i="16"/>
  <c r="J6" i="16"/>
  <c r="I6" i="16"/>
  <c r="H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AA2" i="16"/>
  <c r="Y2" i="16"/>
  <c r="X2" i="16"/>
  <c r="T2" i="16"/>
  <c r="Q2" i="16"/>
  <c r="P2" i="16"/>
  <c r="K2" i="16"/>
  <c r="D2" i="16"/>
  <c r="B2" i="16"/>
  <c r="AB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X15" i="15"/>
  <c r="V15" i="15"/>
  <c r="U15" i="15"/>
  <c r="B15" i="15"/>
  <c r="Y15" i="15" s="1"/>
  <c r="B14" i="15"/>
  <c r="S13" i="15"/>
  <c r="R13" i="15"/>
  <c r="O13" i="15"/>
  <c r="N13" i="15"/>
  <c r="M13" i="15"/>
  <c r="L13" i="15"/>
  <c r="K13" i="15"/>
  <c r="D13" i="15"/>
  <c r="C13" i="15"/>
  <c r="B13" i="15"/>
  <c r="AB13" i="15" s="1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Z8" i="15"/>
  <c r="Y8" i="15"/>
  <c r="X8" i="15"/>
  <c r="R8" i="15"/>
  <c r="O8" i="15"/>
  <c r="N8" i="15"/>
  <c r="M8" i="15"/>
  <c r="L8" i="15"/>
  <c r="J8" i="15"/>
  <c r="H8" i="15"/>
  <c r="G8" i="15"/>
  <c r="F8" i="15"/>
  <c r="E8" i="15"/>
  <c r="D8" i="15"/>
  <c r="B8" i="15"/>
  <c r="K8" i="15" s="1"/>
  <c r="V7" i="15"/>
  <c r="S7" i="15"/>
  <c r="R7" i="15"/>
  <c r="Q7" i="15"/>
  <c r="P7" i="15"/>
  <c r="O7" i="15"/>
  <c r="M7" i="15"/>
  <c r="I7" i="15"/>
  <c r="H7" i="15"/>
  <c r="F7" i="15"/>
  <c r="E7" i="15"/>
  <c r="B7" i="15"/>
  <c r="AB7" i="15" s="1"/>
  <c r="AB6" i="15"/>
  <c r="AA6" i="15"/>
  <c r="V6" i="15"/>
  <c r="U6" i="15"/>
  <c r="T6" i="15"/>
  <c r="S6" i="15"/>
  <c r="R6" i="15"/>
  <c r="P6" i="15"/>
  <c r="O6" i="15"/>
  <c r="N6" i="15"/>
  <c r="M6" i="15"/>
  <c r="L6" i="15"/>
  <c r="K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B3" i="15"/>
  <c r="G3" i="15" s="1"/>
  <c r="AA2" i="15"/>
  <c r="O2" i="15"/>
  <c r="D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B15" i="14"/>
  <c r="R15" i="14" s="1"/>
  <c r="S14" i="14"/>
  <c r="B14" i="14"/>
  <c r="S13" i="14"/>
  <c r="R13" i="14"/>
  <c r="N13" i="14"/>
  <c r="K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S7" i="14"/>
  <c r="R7" i="14"/>
  <c r="P7" i="14"/>
  <c r="N7" i="14"/>
  <c r="L7" i="14"/>
  <c r="H7" i="14"/>
  <c r="B7" i="14"/>
  <c r="AA6" i="14"/>
  <c r="Z6" i="14"/>
  <c r="X6" i="14"/>
  <c r="W6" i="14"/>
  <c r="T6" i="14"/>
  <c r="R6" i="14"/>
  <c r="Q6" i="14"/>
  <c r="L6" i="14"/>
  <c r="H6" i="14"/>
  <c r="F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S3" i="14"/>
  <c r="D3" i="14"/>
  <c r="B3" i="14"/>
  <c r="AB2" i="14"/>
  <c r="AA2" i="14"/>
  <c r="X2" i="14"/>
  <c r="V2" i="14"/>
  <c r="U2" i="14"/>
  <c r="L2" i="14"/>
  <c r="G2" i="14"/>
  <c r="F2" i="14"/>
  <c r="E2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B17" i="13"/>
  <c r="C17" i="13" s="1"/>
  <c r="U16" i="13"/>
  <c r="T16" i="13"/>
  <c r="H16" i="13"/>
  <c r="G16" i="13"/>
  <c r="B16" i="13"/>
  <c r="AA16" i="13" s="1"/>
  <c r="N15" i="13"/>
  <c r="M15" i="13"/>
  <c r="J15" i="13"/>
  <c r="I15" i="13"/>
  <c r="H15" i="13"/>
  <c r="G15" i="13"/>
  <c r="B15" i="13"/>
  <c r="AA15" i="13" s="1"/>
  <c r="V14" i="13"/>
  <c r="H14" i="13"/>
  <c r="B14" i="13"/>
  <c r="Y13" i="13"/>
  <c r="X13" i="13"/>
  <c r="V13" i="13"/>
  <c r="S13" i="13"/>
  <c r="O13" i="13"/>
  <c r="N13" i="13"/>
  <c r="M13" i="13"/>
  <c r="K13" i="13"/>
  <c r="H13" i="13"/>
  <c r="F13" i="13"/>
  <c r="B13" i="13"/>
  <c r="B12" i="13"/>
  <c r="I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B7" i="13"/>
  <c r="AA7" i="13"/>
  <c r="X7" i="13"/>
  <c r="S7" i="13"/>
  <c r="R7" i="13"/>
  <c r="N7" i="13"/>
  <c r="M7" i="13"/>
  <c r="L7" i="13"/>
  <c r="I7" i="13"/>
  <c r="F7" i="13"/>
  <c r="B7" i="13"/>
  <c r="B6" i="13"/>
  <c r="H6" i="13" s="1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B3" i="13"/>
  <c r="D3" i="13" s="1"/>
  <c r="P2" i="13"/>
  <c r="C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G17" i="12" s="1"/>
  <c r="AB16" i="12"/>
  <c r="AA16" i="12"/>
  <c r="Z16" i="12"/>
  <c r="J16" i="12"/>
  <c r="C16" i="12"/>
  <c r="B16" i="12"/>
  <c r="B15" i="12"/>
  <c r="N15" i="12" s="1"/>
  <c r="AB14" i="12"/>
  <c r="R14" i="12"/>
  <c r="Q14" i="12"/>
  <c r="L14" i="12"/>
  <c r="K14" i="12"/>
  <c r="B14" i="12"/>
  <c r="V14" i="12" s="1"/>
  <c r="B13" i="12"/>
  <c r="Z12" i="12"/>
  <c r="H12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X8" i="12"/>
  <c r="W8" i="12"/>
  <c r="V8" i="12"/>
  <c r="S8" i="12"/>
  <c r="R8" i="12"/>
  <c r="Q8" i="12"/>
  <c r="P8" i="12"/>
  <c r="M8" i="12"/>
  <c r="J8" i="12"/>
  <c r="I8" i="12"/>
  <c r="H8" i="12"/>
  <c r="G8" i="12"/>
  <c r="F8" i="12"/>
  <c r="D8" i="12"/>
  <c r="C8" i="12"/>
  <c r="B8" i="12"/>
  <c r="U8" i="12" s="1"/>
  <c r="B7" i="12"/>
  <c r="AB7" i="12" s="1"/>
  <c r="W6" i="12"/>
  <c r="F6" i="12"/>
  <c r="B6" i="12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Y3" i="12"/>
  <c r="P3" i="12"/>
  <c r="N3" i="12"/>
  <c r="L3" i="12"/>
  <c r="K3" i="12"/>
  <c r="J3" i="12"/>
  <c r="F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B17" i="11"/>
  <c r="J17" i="11" s="1"/>
  <c r="AB16" i="11"/>
  <c r="Y16" i="11"/>
  <c r="W16" i="11"/>
  <c r="V16" i="11"/>
  <c r="D16" i="11"/>
  <c r="B16" i="11"/>
  <c r="AA16" i="11" s="1"/>
  <c r="B15" i="11"/>
  <c r="R15" i="11" s="1"/>
  <c r="X14" i="11"/>
  <c r="W14" i="11"/>
  <c r="T14" i="11"/>
  <c r="R14" i="11"/>
  <c r="Q14" i="11"/>
  <c r="O14" i="11"/>
  <c r="H14" i="11"/>
  <c r="F14" i="11"/>
  <c r="B14" i="11"/>
  <c r="AB14" i="11" s="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P12" i="11"/>
  <c r="B12" i="11"/>
  <c r="J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Q8" i="11"/>
  <c r="P8" i="11"/>
  <c r="O8" i="11"/>
  <c r="B8" i="11"/>
  <c r="I8" i="11" s="1"/>
  <c r="N7" i="11"/>
  <c r="M7" i="11"/>
  <c r="J7" i="11"/>
  <c r="I7" i="11"/>
  <c r="H7" i="11"/>
  <c r="G7" i="11"/>
  <c r="B7" i="11"/>
  <c r="E7" i="11" s="1"/>
  <c r="R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Q3" i="11"/>
  <c r="L3" i="11"/>
  <c r="K3" i="11"/>
  <c r="J3" i="11"/>
  <c r="I3" i="11"/>
  <c r="H3" i="11"/>
  <c r="C3" i="11"/>
  <c r="B3" i="1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B15" i="10"/>
  <c r="Y15" i="10" s="1"/>
  <c r="AB14" i="10"/>
  <c r="AA14" i="10"/>
  <c r="Z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G14" i="10"/>
  <c r="F14" i="10"/>
  <c r="E14" i="10"/>
  <c r="D14" i="10"/>
  <c r="C14" i="10"/>
  <c r="B14" i="10"/>
  <c r="X14" i="10" s="1"/>
  <c r="P13" i="10"/>
  <c r="M13" i="10"/>
  <c r="H13" i="10"/>
  <c r="D13" i="10"/>
  <c r="B13" i="10"/>
  <c r="F13" i="10" s="1"/>
  <c r="AA12" i="10"/>
  <c r="G12" i="10"/>
  <c r="B12" i="10"/>
  <c r="AB12" i="10" s="1"/>
  <c r="C11" i="10"/>
  <c r="B11" i="10"/>
  <c r="B10" i="10"/>
  <c r="B9" i="10"/>
  <c r="AB8" i="10"/>
  <c r="Z8" i="10"/>
  <c r="N8" i="10"/>
  <c r="K8" i="10"/>
  <c r="G8" i="10"/>
  <c r="C8" i="10"/>
  <c r="B8" i="10"/>
  <c r="X7" i="10"/>
  <c r="B7" i="10"/>
  <c r="AA6" i="10"/>
  <c r="Y6" i="10"/>
  <c r="R6" i="10"/>
  <c r="O6" i="10"/>
  <c r="L6" i="10"/>
  <c r="J6" i="10"/>
  <c r="H6" i="10"/>
  <c r="E6" i="10"/>
  <c r="C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B3" i="10"/>
  <c r="J3" i="10" s="1"/>
  <c r="Z2" i="10"/>
  <c r="Y2" i="10"/>
  <c r="M2" i="10"/>
  <c r="L2" i="10"/>
  <c r="J2" i="10"/>
  <c r="H2" i="10"/>
  <c r="G2" i="10"/>
  <c r="F2" i="10"/>
  <c r="E2" i="10"/>
  <c r="B2" i="10"/>
  <c r="AA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U17" i="9"/>
  <c r="T17" i="9"/>
  <c r="R17" i="9"/>
  <c r="Q17" i="9"/>
  <c r="P17" i="9"/>
  <c r="M17" i="9"/>
  <c r="B17" i="9"/>
  <c r="AA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K15" i="9"/>
  <c r="B15" i="9"/>
  <c r="AB14" i="9"/>
  <c r="AA14" i="9"/>
  <c r="Z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G14" i="9"/>
  <c r="F14" i="9"/>
  <c r="E14" i="9"/>
  <c r="D14" i="9"/>
  <c r="C14" i="9"/>
  <c r="B14" i="9"/>
  <c r="X14" i="9" s="1"/>
  <c r="D13" i="9"/>
  <c r="B13" i="9"/>
  <c r="Q13" i="9" s="1"/>
  <c r="AB12" i="9"/>
  <c r="AA12" i="9"/>
  <c r="Z12" i="9"/>
  <c r="D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U8" i="9"/>
  <c r="T8" i="9"/>
  <c r="S8" i="9"/>
  <c r="N8" i="9"/>
  <c r="M8" i="9"/>
  <c r="L8" i="9"/>
  <c r="K8" i="9"/>
  <c r="I8" i="9"/>
  <c r="F8" i="9"/>
  <c r="C8" i="9"/>
  <c r="B8" i="9"/>
  <c r="Q7" i="9"/>
  <c r="N7" i="9"/>
  <c r="M7" i="9"/>
  <c r="B7" i="9"/>
  <c r="C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B3" i="9"/>
  <c r="K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B15" i="8"/>
  <c r="AB14" i="8"/>
  <c r="AA14" i="8"/>
  <c r="Y14" i="8"/>
  <c r="S14" i="8"/>
  <c r="R14" i="8"/>
  <c r="O14" i="8"/>
  <c r="N14" i="8"/>
  <c r="M14" i="8"/>
  <c r="E14" i="8"/>
  <c r="D14" i="8"/>
  <c r="B14" i="8"/>
  <c r="AB13" i="8"/>
  <c r="AA13" i="8"/>
  <c r="X13" i="8"/>
  <c r="W13" i="8"/>
  <c r="N13" i="8"/>
  <c r="B13" i="8"/>
  <c r="C13" i="8" s="1"/>
  <c r="AB12" i="8"/>
  <c r="AA12" i="8"/>
  <c r="Z12" i="8"/>
  <c r="Y12" i="8"/>
  <c r="V12" i="8"/>
  <c r="U12" i="8"/>
  <c r="T12" i="8"/>
  <c r="S12" i="8"/>
  <c r="R12" i="8"/>
  <c r="O12" i="8"/>
  <c r="N12" i="8"/>
  <c r="H12" i="8"/>
  <c r="E12" i="8"/>
  <c r="D12" i="8"/>
  <c r="C12" i="8"/>
  <c r="B12" i="8"/>
  <c r="Q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Z7" i="8"/>
  <c r="Y7" i="8"/>
  <c r="W7" i="8"/>
  <c r="T7" i="8"/>
  <c r="P7" i="8"/>
  <c r="O7" i="8"/>
  <c r="M7" i="8"/>
  <c r="K7" i="8"/>
  <c r="J7" i="8"/>
  <c r="G7" i="8"/>
  <c r="B7" i="8"/>
  <c r="S7" i="8" s="1"/>
  <c r="P6" i="8"/>
  <c r="O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R3" i="8"/>
  <c r="Q3" i="8"/>
  <c r="P3" i="8"/>
  <c r="O3" i="8"/>
  <c r="D3" i="8"/>
  <c r="C3" i="8"/>
  <c r="B3" i="8"/>
  <c r="AA2" i="8"/>
  <c r="Z2" i="8"/>
  <c r="V2" i="8"/>
  <c r="U2" i="8"/>
  <c r="S2" i="8"/>
  <c r="Q2" i="8"/>
  <c r="P2" i="8"/>
  <c r="N2" i="8"/>
  <c r="M2" i="8"/>
  <c r="L2" i="8"/>
  <c r="K2" i="8"/>
  <c r="I2" i="8"/>
  <c r="H2" i="8"/>
  <c r="G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S17" i="7"/>
  <c r="Q17" i="7"/>
  <c r="M17" i="7"/>
  <c r="L17" i="7"/>
  <c r="K17" i="7"/>
  <c r="J17" i="7"/>
  <c r="F17" i="7"/>
  <c r="E17" i="7"/>
  <c r="B17" i="7"/>
  <c r="N16" i="7"/>
  <c r="M16" i="7"/>
  <c r="L16" i="7"/>
  <c r="J16" i="7"/>
  <c r="H16" i="7"/>
  <c r="G16" i="7"/>
  <c r="B16" i="7"/>
  <c r="AA16" i="7" s="1"/>
  <c r="AA15" i="7"/>
  <c r="Y15" i="7"/>
  <c r="W15" i="7"/>
  <c r="V15" i="7"/>
  <c r="U15" i="7"/>
  <c r="T15" i="7"/>
  <c r="Q15" i="7"/>
  <c r="P15" i="7"/>
  <c r="O15" i="7"/>
  <c r="N15" i="7"/>
  <c r="M15" i="7"/>
  <c r="K15" i="7"/>
  <c r="J15" i="7"/>
  <c r="I15" i="7"/>
  <c r="H15" i="7"/>
  <c r="G15" i="7"/>
  <c r="F15" i="7"/>
  <c r="E15" i="7"/>
  <c r="D15" i="7"/>
  <c r="C15" i="7"/>
  <c r="B15" i="7"/>
  <c r="Z15" i="7" s="1"/>
  <c r="S14" i="7"/>
  <c r="R14" i="7"/>
  <c r="Q14" i="7"/>
  <c r="F14" i="7"/>
  <c r="D14" i="7"/>
  <c r="B14" i="7"/>
  <c r="AB13" i="7"/>
  <c r="AA13" i="7"/>
  <c r="X13" i="7"/>
  <c r="W13" i="7"/>
  <c r="N13" i="7"/>
  <c r="M13" i="7"/>
  <c r="K13" i="7"/>
  <c r="I13" i="7"/>
  <c r="H13" i="7"/>
  <c r="B13" i="7"/>
  <c r="W12" i="7"/>
  <c r="V12" i="7"/>
  <c r="S12" i="7"/>
  <c r="R12" i="7"/>
  <c r="P12" i="7"/>
  <c r="M12" i="7"/>
  <c r="C12" i="7"/>
  <c r="B12" i="7"/>
  <c r="AB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Z8" i="7"/>
  <c r="Y8" i="7"/>
  <c r="W8" i="7"/>
  <c r="V8" i="7"/>
  <c r="U8" i="7"/>
  <c r="T8" i="7"/>
  <c r="R8" i="7"/>
  <c r="Q8" i="7"/>
  <c r="P8" i="7"/>
  <c r="N8" i="7"/>
  <c r="M8" i="7"/>
  <c r="L8" i="7"/>
  <c r="K8" i="7"/>
  <c r="H8" i="7"/>
  <c r="G8" i="7"/>
  <c r="F8" i="7"/>
  <c r="E8" i="7"/>
  <c r="D8" i="7"/>
  <c r="B8" i="7"/>
  <c r="B7" i="7"/>
  <c r="R7" i="7" s="1"/>
  <c r="W6" i="7"/>
  <c r="V6" i="7"/>
  <c r="U6" i="7"/>
  <c r="S6" i="7"/>
  <c r="R6" i="7"/>
  <c r="Q6" i="7"/>
  <c r="O6" i="7"/>
  <c r="I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B3" i="7"/>
  <c r="Z2" i="7"/>
  <c r="O2" i="7"/>
  <c r="N2" i="7"/>
  <c r="K2" i="7"/>
  <c r="I2" i="7"/>
  <c r="H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Z17" i="6"/>
  <c r="X17" i="6"/>
  <c r="W17" i="6"/>
  <c r="V17" i="6"/>
  <c r="U17" i="6"/>
  <c r="T17" i="6"/>
  <c r="S17" i="6"/>
  <c r="J17" i="6"/>
  <c r="H17" i="6"/>
  <c r="G17" i="6"/>
  <c r="F17" i="6"/>
  <c r="B17" i="6"/>
  <c r="AB17" i="6" s="1"/>
  <c r="E16" i="6"/>
  <c r="D16" i="6"/>
  <c r="C16" i="6"/>
  <c r="B16" i="6"/>
  <c r="Z15" i="6"/>
  <c r="Y15" i="6"/>
  <c r="W15" i="6"/>
  <c r="V15" i="6"/>
  <c r="B15" i="6"/>
  <c r="E15" i="6" s="1"/>
  <c r="AB14" i="6"/>
  <c r="AA14" i="6"/>
  <c r="Y14" i="6"/>
  <c r="T14" i="6"/>
  <c r="S14" i="6"/>
  <c r="N14" i="6"/>
  <c r="M14" i="6"/>
  <c r="L14" i="6"/>
  <c r="K14" i="6"/>
  <c r="J14" i="6"/>
  <c r="I14" i="6"/>
  <c r="F14" i="6"/>
  <c r="E14" i="6"/>
  <c r="B14" i="6"/>
  <c r="Y13" i="6"/>
  <c r="V13" i="6"/>
  <c r="R13" i="6"/>
  <c r="Q13" i="6"/>
  <c r="P13" i="6"/>
  <c r="O13" i="6"/>
  <c r="N13" i="6"/>
  <c r="B13" i="6"/>
  <c r="B12" i="6"/>
  <c r="U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I8" i="6"/>
  <c r="H8" i="6"/>
  <c r="G8" i="6"/>
  <c r="E8" i="6"/>
  <c r="D8" i="6"/>
  <c r="C8" i="6"/>
  <c r="B8" i="6"/>
  <c r="AB8" i="6" s="1"/>
  <c r="B7" i="6"/>
  <c r="J7" i="6" s="1"/>
  <c r="B6" i="6"/>
  <c r="AB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B3" i="6"/>
  <c r="C3" i="6" s="1"/>
  <c r="AB2" i="6"/>
  <c r="AA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U17" i="5"/>
  <c r="T17" i="5"/>
  <c r="S17" i="5"/>
  <c r="R17" i="5"/>
  <c r="Q17" i="5"/>
  <c r="O17" i="5"/>
  <c r="L17" i="5"/>
  <c r="K17" i="5"/>
  <c r="J17" i="5"/>
  <c r="B17" i="5"/>
  <c r="P17" i="5" s="1"/>
  <c r="B16" i="5"/>
  <c r="Z15" i="5"/>
  <c r="W15" i="5"/>
  <c r="V15" i="5"/>
  <c r="U15" i="5"/>
  <c r="B15" i="5"/>
  <c r="C15" i="5" s="1"/>
  <c r="AB14" i="5"/>
  <c r="AA14" i="5"/>
  <c r="Z14" i="5"/>
  <c r="Y14" i="5"/>
  <c r="W14" i="5"/>
  <c r="V14" i="5"/>
  <c r="O14" i="5"/>
  <c r="B14" i="5"/>
  <c r="D14" i="5" s="1"/>
  <c r="Z13" i="5"/>
  <c r="Y13" i="5"/>
  <c r="X13" i="5"/>
  <c r="R13" i="5"/>
  <c r="M13" i="5"/>
  <c r="K13" i="5"/>
  <c r="I13" i="5"/>
  <c r="H13" i="5"/>
  <c r="B13" i="5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AA7" i="5"/>
  <c r="Z7" i="5"/>
  <c r="B7" i="5"/>
  <c r="D7" i="5" s="1"/>
  <c r="X6" i="5"/>
  <c r="B6" i="5"/>
  <c r="J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L3" i="5"/>
  <c r="B3" i="5"/>
  <c r="W3" i="5" s="1"/>
  <c r="F2" i="5"/>
  <c r="B2" i="5"/>
  <c r="D2" i="5" s="1"/>
  <c r="B2" i="1"/>
  <c r="U12" i="15" l="1"/>
  <c r="R12" i="15"/>
  <c r="K12" i="15"/>
  <c r="J12" i="15"/>
  <c r="G12" i="15"/>
  <c r="AA12" i="15"/>
  <c r="Z12" i="15"/>
  <c r="AB6" i="18"/>
  <c r="AA6" i="18"/>
  <c r="W6" i="18"/>
  <c r="Q6" i="18"/>
  <c r="K6" i="18"/>
  <c r="J6" i="18"/>
  <c r="I6" i="18"/>
  <c r="E6" i="18"/>
  <c r="Z3" i="18"/>
  <c r="I3" i="18"/>
  <c r="D3" i="18"/>
  <c r="Y3" i="18"/>
  <c r="S3" i="18"/>
  <c r="R3" i="18"/>
  <c r="Q3" i="18"/>
  <c r="P3" i="18"/>
  <c r="M3" i="18"/>
  <c r="K3" i="18"/>
  <c r="X3" i="7"/>
  <c r="M3" i="7"/>
  <c r="V3" i="7"/>
  <c r="U3" i="7"/>
  <c r="C15" i="10"/>
  <c r="Z15" i="8"/>
  <c r="H15" i="8"/>
  <c r="O15" i="8"/>
  <c r="N15" i="8"/>
  <c r="R7" i="9"/>
  <c r="F15" i="10"/>
  <c r="R8" i="11"/>
  <c r="D7" i="12"/>
  <c r="F15" i="12"/>
  <c r="E3" i="13"/>
  <c r="J6" i="13"/>
  <c r="J12" i="13"/>
  <c r="U14" i="13"/>
  <c r="L14" i="13"/>
  <c r="Y14" i="13"/>
  <c r="S14" i="13"/>
  <c r="R14" i="13"/>
  <c r="D15" i="14"/>
  <c r="D3" i="15"/>
  <c r="H12" i="15"/>
  <c r="Z17" i="17"/>
  <c r="Y17" i="17"/>
  <c r="W17" i="17"/>
  <c r="U17" i="17"/>
  <c r="O17" i="17"/>
  <c r="M17" i="17"/>
  <c r="L17" i="17"/>
  <c r="E17" i="17"/>
  <c r="H3" i="18"/>
  <c r="X6" i="18"/>
  <c r="I6" i="6"/>
  <c r="D12" i="6"/>
  <c r="AA15" i="6"/>
  <c r="H3" i="7"/>
  <c r="H7" i="7"/>
  <c r="T12" i="7"/>
  <c r="Z14" i="7"/>
  <c r="N14" i="7"/>
  <c r="V14" i="7"/>
  <c r="U14" i="7"/>
  <c r="J3" i="8"/>
  <c r="AA3" i="8"/>
  <c r="G3" i="8"/>
  <c r="E3" i="8"/>
  <c r="X14" i="8"/>
  <c r="J14" i="8"/>
  <c r="Z14" i="8"/>
  <c r="C14" i="8"/>
  <c r="Q14" i="8"/>
  <c r="P14" i="8"/>
  <c r="E15" i="8"/>
  <c r="S7" i="9"/>
  <c r="C13" i="9"/>
  <c r="S17" i="9"/>
  <c r="G15" i="10"/>
  <c r="L7" i="11"/>
  <c r="X8" i="11"/>
  <c r="V14" i="11"/>
  <c r="F7" i="12"/>
  <c r="G15" i="12"/>
  <c r="O17" i="12"/>
  <c r="F3" i="13"/>
  <c r="K6" i="13"/>
  <c r="L12" i="13"/>
  <c r="E14" i="13"/>
  <c r="L15" i="13"/>
  <c r="E15" i="14"/>
  <c r="F3" i="15"/>
  <c r="I12" i="15"/>
  <c r="Q17" i="17"/>
  <c r="J3" i="18"/>
  <c r="H15" i="10"/>
  <c r="G7" i="12"/>
  <c r="I15" i="12"/>
  <c r="T17" i="12"/>
  <c r="S2" i="13"/>
  <c r="G2" i="13"/>
  <c r="Z2" i="13"/>
  <c r="U2" i="13"/>
  <c r="O2" i="13"/>
  <c r="N2" i="13"/>
  <c r="J3" i="13"/>
  <c r="M6" i="13"/>
  <c r="O12" i="13"/>
  <c r="F14" i="13"/>
  <c r="P3" i="14"/>
  <c r="G3" i="14"/>
  <c r="C3" i="14"/>
  <c r="Y3" i="14"/>
  <c r="X3" i="14"/>
  <c r="F15" i="14"/>
  <c r="X2" i="15"/>
  <c r="N2" i="15"/>
  <c r="G2" i="15"/>
  <c r="AB2" i="15"/>
  <c r="C2" i="15"/>
  <c r="V2" i="15"/>
  <c r="U2" i="15"/>
  <c r="L12" i="15"/>
  <c r="R17" i="17"/>
  <c r="N3" i="18"/>
  <c r="AA6" i="11"/>
  <c r="G6" i="11"/>
  <c r="U6" i="11"/>
  <c r="P6" i="11"/>
  <c r="O6" i="11"/>
  <c r="R12" i="13"/>
  <c r="I15" i="14"/>
  <c r="P3" i="15"/>
  <c r="M3" i="15"/>
  <c r="E3" i="15"/>
  <c r="Y3" i="15"/>
  <c r="X3" i="15"/>
  <c r="M12" i="15"/>
  <c r="E6" i="5"/>
  <c r="AA6" i="7"/>
  <c r="N6" i="7"/>
  <c r="K6" i="7"/>
  <c r="AB17" i="7"/>
  <c r="H17" i="7"/>
  <c r="G17" i="7"/>
  <c r="H3" i="8"/>
  <c r="F14" i="8"/>
  <c r="I15" i="8"/>
  <c r="X7" i="9"/>
  <c r="S13" i="9"/>
  <c r="X17" i="9"/>
  <c r="N2" i="10"/>
  <c r="L15" i="10"/>
  <c r="I2" i="11"/>
  <c r="C6" i="11"/>
  <c r="O7" i="11"/>
  <c r="E12" i="11"/>
  <c r="AA14" i="11"/>
  <c r="J7" i="12"/>
  <c r="K15" i="12"/>
  <c r="D2" i="13"/>
  <c r="L3" i="13"/>
  <c r="AA6" i="13"/>
  <c r="S12" i="13"/>
  <c r="J14" i="13"/>
  <c r="O15" i="13"/>
  <c r="E3" i="14"/>
  <c r="Z7" i="14"/>
  <c r="C7" i="14"/>
  <c r="V7" i="14"/>
  <c r="O7" i="14"/>
  <c r="K7" i="14"/>
  <c r="J7" i="14"/>
  <c r="J15" i="14"/>
  <c r="E2" i="15"/>
  <c r="J3" i="15"/>
  <c r="W7" i="15"/>
  <c r="N12" i="15"/>
  <c r="T13" i="15"/>
  <c r="AA17" i="17"/>
  <c r="W3" i="18"/>
  <c r="C12" i="15"/>
  <c r="AA15" i="5"/>
  <c r="K6" i="6"/>
  <c r="I7" i="7"/>
  <c r="F15" i="8"/>
  <c r="T7" i="9"/>
  <c r="AB15" i="5"/>
  <c r="L6" i="6"/>
  <c r="K12" i="6"/>
  <c r="K3" i="7"/>
  <c r="M13" i="8"/>
  <c r="F13" i="8"/>
  <c r="T13" i="8"/>
  <c r="S13" i="8"/>
  <c r="J15" i="12"/>
  <c r="V3" i="18"/>
  <c r="AB13" i="5"/>
  <c r="G13" i="5"/>
  <c r="D15" i="5"/>
  <c r="U14" i="6"/>
  <c r="O14" i="6"/>
  <c r="X14" i="6"/>
  <c r="W14" i="6"/>
  <c r="D15" i="6"/>
  <c r="AA17" i="6"/>
  <c r="L3" i="7"/>
  <c r="K7" i="7"/>
  <c r="T2" i="6"/>
  <c r="N6" i="6"/>
  <c r="P12" i="6"/>
  <c r="C14" i="6"/>
  <c r="N3" i="7"/>
  <c r="F6" i="7"/>
  <c r="N7" i="7"/>
  <c r="Y12" i="7"/>
  <c r="I14" i="7"/>
  <c r="C17" i="7"/>
  <c r="O2" i="8"/>
  <c r="W2" i="8"/>
  <c r="F2" i="8"/>
  <c r="D2" i="8"/>
  <c r="I3" i="8"/>
  <c r="E6" i="8"/>
  <c r="E13" i="8"/>
  <c r="G14" i="8"/>
  <c r="J15" i="8"/>
  <c r="AA7" i="9"/>
  <c r="W13" i="9"/>
  <c r="P2" i="10"/>
  <c r="M15" i="10"/>
  <c r="N2" i="11"/>
  <c r="E6" i="11"/>
  <c r="P7" i="11"/>
  <c r="F12" i="11"/>
  <c r="K7" i="12"/>
  <c r="M15" i="12"/>
  <c r="E2" i="13"/>
  <c r="M3" i="13"/>
  <c r="Y7" i="13"/>
  <c r="U7" i="13"/>
  <c r="H7" i="13"/>
  <c r="D7" i="13"/>
  <c r="U12" i="13"/>
  <c r="K14" i="13"/>
  <c r="P15" i="13"/>
  <c r="F3" i="14"/>
  <c r="D7" i="14"/>
  <c r="K15" i="14"/>
  <c r="F2" i="15"/>
  <c r="K3" i="15"/>
  <c r="Y7" i="15"/>
  <c r="O12" i="15"/>
  <c r="V13" i="15"/>
  <c r="X12" i="17"/>
  <c r="O12" i="17"/>
  <c r="I12" i="17"/>
  <c r="E12" i="17"/>
  <c r="D12" i="17"/>
  <c r="AB12" i="17"/>
  <c r="W12" i="17"/>
  <c r="V12" i="17"/>
  <c r="U12" i="17"/>
  <c r="T12" i="17"/>
  <c r="Q12" i="17"/>
  <c r="AB17" i="17"/>
  <c r="C7" i="7"/>
  <c r="C15" i="14"/>
  <c r="C3" i="15"/>
  <c r="D12" i="15"/>
  <c r="X15" i="6"/>
  <c r="M15" i="6"/>
  <c r="T15" i="6"/>
  <c r="S15" i="6"/>
  <c r="K3" i="13"/>
  <c r="O6" i="13"/>
  <c r="I3" i="15"/>
  <c r="M6" i="6"/>
  <c r="L12" i="6"/>
  <c r="X12" i="7"/>
  <c r="H14" i="7"/>
  <c r="I6" i="5"/>
  <c r="D13" i="5"/>
  <c r="E15" i="5"/>
  <c r="F13" i="5"/>
  <c r="G15" i="5"/>
  <c r="D17" i="5"/>
  <c r="Z2" i="6"/>
  <c r="O6" i="6"/>
  <c r="R12" i="6"/>
  <c r="D14" i="6"/>
  <c r="F15" i="6"/>
  <c r="O3" i="7"/>
  <c r="H6" i="7"/>
  <c r="O7" i="7"/>
  <c r="J14" i="7"/>
  <c r="D17" i="7"/>
  <c r="C2" i="8"/>
  <c r="K3" i="8"/>
  <c r="F6" i="8"/>
  <c r="G13" i="8"/>
  <c r="H14" i="8"/>
  <c r="K15" i="8"/>
  <c r="AB7" i="9"/>
  <c r="X13" i="9"/>
  <c r="U2" i="10"/>
  <c r="O15" i="10"/>
  <c r="Q2" i="11"/>
  <c r="H6" i="11"/>
  <c r="T7" i="11"/>
  <c r="G12" i="11"/>
  <c r="V7" i="12"/>
  <c r="AB12" i="12"/>
  <c r="C12" i="12"/>
  <c r="F2" i="13"/>
  <c r="N3" i="13"/>
  <c r="C7" i="13"/>
  <c r="V12" i="13"/>
  <c r="M14" i="13"/>
  <c r="S15" i="13"/>
  <c r="I3" i="14"/>
  <c r="E7" i="14"/>
  <c r="M15" i="14"/>
  <c r="H2" i="15"/>
  <c r="L3" i="15"/>
  <c r="AA7" i="15"/>
  <c r="P12" i="15"/>
  <c r="W13" i="15"/>
  <c r="C12" i="17"/>
  <c r="X15" i="12"/>
  <c r="S15" i="12"/>
  <c r="L15" i="12"/>
  <c r="H15" i="12"/>
  <c r="AB15" i="12"/>
  <c r="D15" i="12"/>
  <c r="AA15" i="12"/>
  <c r="C15" i="12"/>
  <c r="C3" i="13"/>
  <c r="J12" i="6"/>
  <c r="AB6" i="5"/>
  <c r="M6" i="5"/>
  <c r="H12" i="5"/>
  <c r="C15" i="6"/>
  <c r="J7" i="7"/>
  <c r="K6" i="5"/>
  <c r="S12" i="6"/>
  <c r="G15" i="6"/>
  <c r="P7" i="7"/>
  <c r="Z13" i="7"/>
  <c r="J13" i="7"/>
  <c r="S13" i="7"/>
  <c r="R13" i="7"/>
  <c r="L14" i="7"/>
  <c r="L3" i="8"/>
  <c r="H13" i="8"/>
  <c r="I14" i="8"/>
  <c r="L15" i="8"/>
  <c r="W8" i="9"/>
  <c r="P8" i="9"/>
  <c r="G8" i="9"/>
  <c r="Y8" i="9"/>
  <c r="X8" i="9"/>
  <c r="Y13" i="9"/>
  <c r="P15" i="10"/>
  <c r="E3" i="11"/>
  <c r="U3" i="11"/>
  <c r="P3" i="11"/>
  <c r="M3" i="11"/>
  <c r="I6" i="11"/>
  <c r="U7" i="11"/>
  <c r="W15" i="11"/>
  <c r="W7" i="12"/>
  <c r="O15" i="12"/>
  <c r="H2" i="13"/>
  <c r="W3" i="13"/>
  <c r="E7" i="13"/>
  <c r="W12" i="13"/>
  <c r="N14" i="13"/>
  <c r="T15" i="13"/>
  <c r="J3" i="14"/>
  <c r="G7" i="14"/>
  <c r="N15" i="14"/>
  <c r="I2" i="15"/>
  <c r="N3" i="15"/>
  <c r="Q12" i="15"/>
  <c r="Z7" i="16"/>
  <c r="C7" i="16"/>
  <c r="U7" i="16"/>
  <c r="T7" i="16"/>
  <c r="P7" i="16"/>
  <c r="J7" i="16"/>
  <c r="I7" i="16"/>
  <c r="F12" i="17"/>
  <c r="E15" i="12"/>
  <c r="X15" i="5"/>
  <c r="F15" i="5"/>
  <c r="M15" i="5"/>
  <c r="J3" i="7"/>
  <c r="T12" i="11"/>
  <c r="I12" i="11"/>
  <c r="C12" i="11"/>
  <c r="I7" i="12"/>
  <c r="N17" i="6"/>
  <c r="E17" i="6"/>
  <c r="M17" i="6"/>
  <c r="L17" i="6"/>
  <c r="C2" i="5"/>
  <c r="T12" i="6"/>
  <c r="H15" i="6"/>
  <c r="C17" i="6"/>
  <c r="E13" i="7"/>
  <c r="M14" i="7"/>
  <c r="M3" i="8"/>
  <c r="I13" i="8"/>
  <c r="K14" i="8"/>
  <c r="M15" i="8"/>
  <c r="Z13" i="9"/>
  <c r="Q15" i="10"/>
  <c r="J6" i="11"/>
  <c r="V7" i="11"/>
  <c r="K12" i="11"/>
  <c r="X7" i="12"/>
  <c r="P15" i="12"/>
  <c r="I2" i="13"/>
  <c r="AB3" i="13"/>
  <c r="X12" i="13"/>
  <c r="O14" i="13"/>
  <c r="V15" i="13"/>
  <c r="K3" i="14"/>
  <c r="O15" i="14"/>
  <c r="J2" i="15"/>
  <c r="Q3" i="15"/>
  <c r="S12" i="15"/>
  <c r="AB14" i="15"/>
  <c r="O14" i="15"/>
  <c r="E14" i="15"/>
  <c r="D7" i="16"/>
  <c r="E6" i="17"/>
  <c r="L6" i="17"/>
  <c r="G12" i="17"/>
  <c r="F3" i="7"/>
  <c r="AB15" i="6"/>
  <c r="G15" i="8"/>
  <c r="U7" i="9"/>
  <c r="M13" i="9"/>
  <c r="K15" i="10"/>
  <c r="H15" i="5"/>
  <c r="P3" i="7"/>
  <c r="R6" i="5"/>
  <c r="I15" i="5"/>
  <c r="Y2" i="7"/>
  <c r="M2" i="7"/>
  <c r="L2" i="7"/>
  <c r="S3" i="7"/>
  <c r="Q7" i="7"/>
  <c r="E2" i="5"/>
  <c r="W6" i="5"/>
  <c r="J13" i="5"/>
  <c r="J15" i="5"/>
  <c r="H14" i="6"/>
  <c r="I15" i="6"/>
  <c r="D17" i="6"/>
  <c r="G2" i="7"/>
  <c r="T3" i="7"/>
  <c r="P6" i="7"/>
  <c r="F13" i="7"/>
  <c r="O14" i="7"/>
  <c r="I17" i="7"/>
  <c r="N3" i="8"/>
  <c r="J13" i="8"/>
  <c r="L14" i="8"/>
  <c r="P15" i="8"/>
  <c r="E8" i="9"/>
  <c r="AA13" i="9"/>
  <c r="Z12" i="10"/>
  <c r="R15" i="10"/>
  <c r="D3" i="11"/>
  <c r="K6" i="11"/>
  <c r="X7" i="11"/>
  <c r="L12" i="11"/>
  <c r="U3" i="12"/>
  <c r="M3" i="12"/>
  <c r="I3" i="12"/>
  <c r="G3" i="12"/>
  <c r="Z7" i="12"/>
  <c r="AA12" i="12"/>
  <c r="Q15" i="12"/>
  <c r="J2" i="13"/>
  <c r="G7" i="13"/>
  <c r="W13" i="13"/>
  <c r="G13" i="13"/>
  <c r="Z13" i="13"/>
  <c r="U13" i="13"/>
  <c r="Q13" i="13"/>
  <c r="P13" i="13"/>
  <c r="P14" i="13"/>
  <c r="Y15" i="13"/>
  <c r="L3" i="14"/>
  <c r="I7" i="14"/>
  <c r="Q15" i="14"/>
  <c r="K2" i="15"/>
  <c r="T3" i="15"/>
  <c r="T12" i="15"/>
  <c r="D14" i="15"/>
  <c r="E7" i="16"/>
  <c r="C6" i="17"/>
  <c r="H12" i="17"/>
  <c r="G7" i="7"/>
  <c r="E7" i="7"/>
  <c r="M7" i="7"/>
  <c r="L7" i="7"/>
  <c r="Y15" i="5"/>
  <c r="K13" i="8"/>
  <c r="U15" i="8"/>
  <c r="H12" i="9"/>
  <c r="Y12" i="9"/>
  <c r="X12" i="9"/>
  <c r="T15" i="10"/>
  <c r="L6" i="11"/>
  <c r="Z7" i="11"/>
  <c r="M12" i="11"/>
  <c r="S14" i="11"/>
  <c r="E14" i="11"/>
  <c r="U14" i="11"/>
  <c r="P14" i="11"/>
  <c r="L14" i="11"/>
  <c r="K14" i="11"/>
  <c r="AA7" i="12"/>
  <c r="R15" i="12"/>
  <c r="L2" i="13"/>
  <c r="Q14" i="13"/>
  <c r="Z15" i="13"/>
  <c r="M3" i="14"/>
  <c r="U6" i="14"/>
  <c r="S6" i="14"/>
  <c r="O6" i="14"/>
  <c r="K6" i="14"/>
  <c r="J6" i="14"/>
  <c r="AB13" i="14"/>
  <c r="Q13" i="14"/>
  <c r="E13" i="14"/>
  <c r="L2" i="15"/>
  <c r="U3" i="15"/>
  <c r="X7" i="15"/>
  <c r="N7" i="15"/>
  <c r="G7" i="15"/>
  <c r="Z7" i="15"/>
  <c r="C7" i="15"/>
  <c r="U7" i="15"/>
  <c r="T7" i="15"/>
  <c r="V12" i="15"/>
  <c r="M14" i="15"/>
  <c r="F7" i="16"/>
  <c r="G6" i="17"/>
  <c r="J12" i="17"/>
  <c r="AA3" i="13"/>
  <c r="I3" i="13"/>
  <c r="V3" i="13"/>
  <c r="P3" i="13"/>
  <c r="X15" i="14"/>
  <c r="W15" i="14"/>
  <c r="P15" i="14"/>
  <c r="L15" i="14"/>
  <c r="H15" i="14"/>
  <c r="G15" i="14"/>
  <c r="D7" i="7"/>
  <c r="X12" i="6"/>
  <c r="O12" i="6"/>
  <c r="N12" i="6"/>
  <c r="Z3" i="7"/>
  <c r="S7" i="7"/>
  <c r="Z6" i="5"/>
  <c r="L15" i="5"/>
  <c r="W12" i="6"/>
  <c r="K15" i="6"/>
  <c r="AB3" i="7"/>
  <c r="U7" i="7"/>
  <c r="G12" i="7"/>
  <c r="O12" i="7"/>
  <c r="N12" i="7"/>
  <c r="L13" i="8"/>
  <c r="Y15" i="8"/>
  <c r="C12" i="9"/>
  <c r="AA15" i="9"/>
  <c r="Y15" i="9"/>
  <c r="M15" i="9"/>
  <c r="U15" i="10"/>
  <c r="Q6" i="11"/>
  <c r="AA7" i="11"/>
  <c r="O12" i="11"/>
  <c r="C14" i="11"/>
  <c r="T15" i="12"/>
  <c r="M2" i="13"/>
  <c r="T14" i="13"/>
  <c r="Q2" i="14"/>
  <c r="O2" i="14"/>
  <c r="Z2" i="14"/>
  <c r="Y2" i="14"/>
  <c r="N3" i="14"/>
  <c r="E6" i="14"/>
  <c r="M7" i="14"/>
  <c r="G13" i="14"/>
  <c r="S15" i="14"/>
  <c r="M2" i="15"/>
  <c r="W3" i="15"/>
  <c r="D7" i="15"/>
  <c r="W12" i="15"/>
  <c r="N14" i="15"/>
  <c r="G7" i="16"/>
  <c r="M6" i="17"/>
  <c r="M12" i="17"/>
  <c r="G3" i="7"/>
  <c r="W15" i="10"/>
  <c r="V15" i="12"/>
  <c r="T15" i="14"/>
  <c r="Z3" i="15"/>
  <c r="X12" i="15"/>
  <c r="S15" i="15"/>
  <c r="AA15" i="15"/>
  <c r="J6" i="6"/>
  <c r="AA6" i="6"/>
  <c r="P6" i="6"/>
  <c r="E6" i="6"/>
  <c r="K15" i="5"/>
  <c r="J15" i="6"/>
  <c r="L15" i="6"/>
  <c r="I7" i="5"/>
  <c r="C3" i="9"/>
  <c r="E12" i="9"/>
  <c r="Z17" i="9"/>
  <c r="W17" i="9"/>
  <c r="O17" i="9"/>
  <c r="T6" i="11"/>
  <c r="C8" i="11"/>
  <c r="U12" i="11"/>
  <c r="G14" i="11"/>
  <c r="W15" i="12"/>
  <c r="Q2" i="13"/>
  <c r="W14" i="13"/>
  <c r="T3" i="14"/>
  <c r="G6" i="14"/>
  <c r="U15" i="14"/>
  <c r="P2" i="15"/>
  <c r="AA3" i="15"/>
  <c r="P13" i="15"/>
  <c r="Q13" i="15"/>
  <c r="I13" i="15"/>
  <c r="H13" i="15"/>
  <c r="E13" i="15"/>
  <c r="AA13" i="15"/>
  <c r="Z13" i="15"/>
  <c r="C15" i="15"/>
  <c r="L7" i="16"/>
  <c r="R12" i="17"/>
  <c r="AB12" i="13"/>
  <c r="T12" i="13"/>
  <c r="M12" i="13"/>
  <c r="H12" i="13"/>
  <c r="D12" i="13"/>
  <c r="E3" i="18"/>
  <c r="V12" i="6"/>
  <c r="N15" i="5"/>
  <c r="Y7" i="9"/>
  <c r="P7" i="9"/>
  <c r="F7" i="9"/>
  <c r="W7" i="9"/>
  <c r="V7" i="9"/>
  <c r="M3" i="5"/>
  <c r="N15" i="6"/>
  <c r="F3" i="9"/>
  <c r="X6" i="11"/>
  <c r="D8" i="11"/>
  <c r="Y15" i="12"/>
  <c r="R2" i="13"/>
  <c r="AA14" i="13"/>
  <c r="U3" i="14"/>
  <c r="V15" i="14"/>
  <c r="Q2" i="15"/>
  <c r="E15" i="15"/>
  <c r="AB12" i="16"/>
  <c r="K12" i="16"/>
  <c r="I12" i="16"/>
  <c r="S12" i="17"/>
  <c r="X15" i="10"/>
  <c r="V15" i="10"/>
  <c r="N15" i="10"/>
  <c r="I15" i="10"/>
  <c r="E15" i="10"/>
  <c r="D15" i="10"/>
  <c r="Y12" i="6"/>
  <c r="AA15" i="8"/>
  <c r="AB13" i="6"/>
  <c r="M13" i="6"/>
  <c r="T13" i="6"/>
  <c r="S13" i="6"/>
  <c r="S3" i="8"/>
  <c r="P13" i="8"/>
  <c r="E17" i="9"/>
  <c r="X12" i="11"/>
  <c r="U7" i="5"/>
  <c r="O17" i="6"/>
  <c r="G3" i="9"/>
  <c r="X15" i="13"/>
  <c r="K15" i="13"/>
  <c r="AB15" i="13"/>
  <c r="D15" i="13"/>
  <c r="W15" i="13"/>
  <c r="R15" i="13"/>
  <c r="Q15" i="13"/>
  <c r="Y15" i="14"/>
  <c r="R2" i="15"/>
  <c r="E7" i="12"/>
  <c r="Y7" i="12"/>
  <c r="S7" i="12"/>
  <c r="P7" i="12"/>
  <c r="F7" i="7"/>
  <c r="V7" i="7"/>
  <c r="T14" i="7"/>
  <c r="O15" i="6"/>
  <c r="Y7" i="7"/>
  <c r="F12" i="7"/>
  <c r="X14" i="7"/>
  <c r="D7" i="9"/>
  <c r="Z15" i="10"/>
  <c r="Q13" i="8"/>
  <c r="T14" i="8"/>
  <c r="G7" i="9"/>
  <c r="O12" i="9"/>
  <c r="AA15" i="10"/>
  <c r="I14" i="11"/>
  <c r="Z15" i="12"/>
  <c r="V2" i="13"/>
  <c r="V3" i="14"/>
  <c r="G15" i="15"/>
  <c r="S3" i="5"/>
  <c r="V7" i="5"/>
  <c r="R15" i="5"/>
  <c r="V17" i="5"/>
  <c r="J8" i="6"/>
  <c r="H13" i="6"/>
  <c r="P14" i="6"/>
  <c r="Q15" i="6"/>
  <c r="P17" i="6"/>
  <c r="Q2" i="7"/>
  <c r="X6" i="7"/>
  <c r="AA7" i="7"/>
  <c r="J12" i="7"/>
  <c r="Q13" i="7"/>
  <c r="AA14" i="7"/>
  <c r="T17" i="7"/>
  <c r="R2" i="8"/>
  <c r="W3" i="8"/>
  <c r="Q7" i="8"/>
  <c r="R13" i="8"/>
  <c r="U14" i="8"/>
  <c r="O3" i="9"/>
  <c r="I7" i="9"/>
  <c r="O8" i="9"/>
  <c r="S12" i="9"/>
  <c r="G17" i="9"/>
  <c r="Y13" i="10"/>
  <c r="AB15" i="10"/>
  <c r="R3" i="11"/>
  <c r="C7" i="11"/>
  <c r="Z12" i="11"/>
  <c r="J14" i="11"/>
  <c r="D17" i="11"/>
  <c r="T3" i="12"/>
  <c r="W14" i="12"/>
  <c r="X2" i="13"/>
  <c r="W7" i="13"/>
  <c r="R13" i="13"/>
  <c r="C15" i="13"/>
  <c r="M2" i="14"/>
  <c r="W3" i="14"/>
  <c r="M6" i="14"/>
  <c r="W7" i="14"/>
  <c r="X13" i="14"/>
  <c r="Z15" i="14"/>
  <c r="S2" i="15"/>
  <c r="J7" i="15"/>
  <c r="F13" i="15"/>
  <c r="I15" i="15"/>
  <c r="R7" i="16"/>
  <c r="W12" i="16"/>
  <c r="Z12" i="17"/>
  <c r="AB6" i="13"/>
  <c r="G6" i="13"/>
  <c r="Z6" i="13"/>
  <c r="P6" i="13"/>
  <c r="AB8" i="11"/>
  <c r="K8" i="11"/>
  <c r="T8" i="11"/>
  <c r="S8" i="11"/>
  <c r="O15" i="5"/>
  <c r="AB12" i="6"/>
  <c r="E12" i="7"/>
  <c r="K17" i="6"/>
  <c r="J12" i="9"/>
  <c r="Q3" i="5"/>
  <c r="Q15" i="5"/>
  <c r="G13" i="6"/>
  <c r="H12" i="7"/>
  <c r="O13" i="7"/>
  <c r="Y14" i="7"/>
  <c r="V3" i="8"/>
  <c r="F17" i="9"/>
  <c r="E8" i="11"/>
  <c r="C17" i="11"/>
  <c r="T3" i="5"/>
  <c r="X7" i="5"/>
  <c r="W17" i="5"/>
  <c r="U8" i="6"/>
  <c r="I13" i="6"/>
  <c r="Q14" i="6"/>
  <c r="Q17" i="6"/>
  <c r="R2" i="7"/>
  <c r="AB7" i="7"/>
  <c r="K12" i="7"/>
  <c r="T13" i="7"/>
  <c r="U17" i="7"/>
  <c r="Z3" i="8"/>
  <c r="V14" i="8"/>
  <c r="J7" i="9"/>
  <c r="J17" i="9"/>
  <c r="W2" i="10"/>
  <c r="K2" i="10"/>
  <c r="C2" i="10"/>
  <c r="X2" i="10"/>
  <c r="V2" i="10"/>
  <c r="Z13" i="10"/>
  <c r="S3" i="11"/>
  <c r="J8" i="11"/>
  <c r="AB12" i="11"/>
  <c r="M14" i="11"/>
  <c r="O17" i="11"/>
  <c r="X14" i="12"/>
  <c r="Y2" i="13"/>
  <c r="E15" i="13"/>
  <c r="P2" i="14"/>
  <c r="Z3" i="14"/>
  <c r="N6" i="14"/>
  <c r="X7" i="14"/>
  <c r="Y14" i="14"/>
  <c r="AB14" i="14"/>
  <c r="AA15" i="14"/>
  <c r="Y2" i="15"/>
  <c r="K7" i="15"/>
  <c r="G13" i="15"/>
  <c r="K15" i="15"/>
  <c r="Z6" i="16"/>
  <c r="O6" i="16"/>
  <c r="N6" i="16"/>
  <c r="K6" i="16"/>
  <c r="G6" i="16"/>
  <c r="F6" i="16"/>
  <c r="S7" i="16"/>
  <c r="X12" i="16"/>
  <c r="W7" i="7"/>
  <c r="O13" i="8"/>
  <c r="N3" i="5"/>
  <c r="N7" i="5"/>
  <c r="P15" i="5"/>
  <c r="P15" i="6"/>
  <c r="P2" i="7"/>
  <c r="Z7" i="7"/>
  <c r="Q7" i="11"/>
  <c r="K7" i="11"/>
  <c r="AB7" i="11"/>
  <c r="D7" i="11"/>
  <c r="W7" i="11"/>
  <c r="S7" i="11"/>
  <c r="R7" i="11"/>
  <c r="Y12" i="11"/>
  <c r="S15" i="5"/>
  <c r="R15" i="6"/>
  <c r="Z6" i="7"/>
  <c r="AB14" i="7"/>
  <c r="U13" i="8"/>
  <c r="S3" i="9"/>
  <c r="Q8" i="9"/>
  <c r="U12" i="9"/>
  <c r="U3" i="5"/>
  <c r="Y7" i="5"/>
  <c r="T15" i="5"/>
  <c r="X17" i="5"/>
  <c r="K13" i="6"/>
  <c r="R14" i="6"/>
  <c r="U15" i="6"/>
  <c r="R17" i="6"/>
  <c r="S2" i="7"/>
  <c r="AB6" i="7"/>
  <c r="X8" i="7"/>
  <c r="AB8" i="7"/>
  <c r="C8" i="7"/>
  <c r="J8" i="7"/>
  <c r="I8" i="7"/>
  <c r="L12" i="7"/>
  <c r="V13" i="7"/>
  <c r="X15" i="7"/>
  <c r="L15" i="7"/>
  <c r="S15" i="7"/>
  <c r="R15" i="7"/>
  <c r="AB15" i="7"/>
  <c r="V17" i="7"/>
  <c r="T2" i="8"/>
  <c r="AB3" i="8"/>
  <c r="U7" i="8"/>
  <c r="V13" i="8"/>
  <c r="W14" i="8"/>
  <c r="Y3" i="9"/>
  <c r="L7" i="9"/>
  <c r="R8" i="9"/>
  <c r="W12" i="9"/>
  <c r="K17" i="9"/>
  <c r="D2" i="10"/>
  <c r="Q8" i="10"/>
  <c r="I8" i="10"/>
  <c r="AA13" i="10"/>
  <c r="Y3" i="11"/>
  <c r="F7" i="11"/>
  <c r="N8" i="11"/>
  <c r="N14" i="11"/>
  <c r="P17" i="11"/>
  <c r="Z3" i="12"/>
  <c r="Y14" i="12"/>
  <c r="AB2" i="13"/>
  <c r="Z7" i="13"/>
  <c r="T13" i="13"/>
  <c r="F15" i="13"/>
  <c r="E17" i="13"/>
  <c r="R2" i="14"/>
  <c r="AB3" i="14"/>
  <c r="P6" i="14"/>
  <c r="Y7" i="14"/>
  <c r="R14" i="14"/>
  <c r="AB15" i="14"/>
  <c r="Z2" i="15"/>
  <c r="L7" i="15"/>
  <c r="J13" i="15"/>
  <c r="T15" i="15"/>
  <c r="E6" i="16"/>
  <c r="V7" i="16"/>
  <c r="Y12" i="16"/>
  <c r="AB8" i="18"/>
  <c r="Y12" i="18"/>
  <c r="E15" i="18"/>
  <c r="W17" i="18"/>
  <c r="H2" i="19"/>
  <c r="K3" i="19"/>
  <c r="N6" i="19"/>
  <c r="M8" i="19"/>
  <c r="C12" i="19"/>
  <c r="K13" i="19"/>
  <c r="T14" i="19"/>
  <c r="Z17" i="16"/>
  <c r="F2" i="18"/>
  <c r="C8" i="18"/>
  <c r="Z12" i="18"/>
  <c r="J15" i="18"/>
  <c r="Y17" i="18"/>
  <c r="M2" i="19"/>
  <c r="M3" i="19"/>
  <c r="O6" i="19"/>
  <c r="N8" i="19"/>
  <c r="E12" i="19"/>
  <c r="L13" i="19"/>
  <c r="U14" i="19"/>
  <c r="G2" i="18"/>
  <c r="D8" i="18"/>
  <c r="AB12" i="18"/>
  <c r="K15" i="18"/>
  <c r="AA17" i="18"/>
  <c r="N2" i="19"/>
  <c r="N3" i="19"/>
  <c r="R6" i="19"/>
  <c r="O8" i="19"/>
  <c r="F12" i="19"/>
  <c r="M13" i="19"/>
  <c r="V14" i="19"/>
  <c r="M15" i="18"/>
  <c r="AB17" i="18"/>
  <c r="O2" i="19"/>
  <c r="P3" i="19"/>
  <c r="W6" i="19"/>
  <c r="P8" i="19"/>
  <c r="G12" i="19"/>
  <c r="O13" i="19"/>
  <c r="AB14" i="19"/>
  <c r="F15" i="17"/>
  <c r="F8" i="18"/>
  <c r="G13" i="18"/>
  <c r="Q15" i="18"/>
  <c r="P13" i="19"/>
  <c r="W12" i="8"/>
  <c r="H14" i="9"/>
  <c r="H14" i="10"/>
  <c r="W6" i="15"/>
  <c r="T8" i="15"/>
  <c r="U2" i="16"/>
  <c r="J14" i="16"/>
  <c r="F2" i="17"/>
  <c r="D7" i="17"/>
  <c r="H8" i="17"/>
  <c r="H15" i="17"/>
  <c r="L2" i="18"/>
  <c r="G8" i="18"/>
  <c r="H13" i="18"/>
  <c r="S15" i="18"/>
  <c r="C17" i="18"/>
  <c r="R2" i="19"/>
  <c r="R3" i="19"/>
  <c r="C7" i="19"/>
  <c r="R8" i="19"/>
  <c r="I12" i="19"/>
  <c r="Q13" i="19"/>
  <c r="C15" i="19"/>
  <c r="X12" i="8"/>
  <c r="I14" i="9"/>
  <c r="I14" i="10"/>
  <c r="X6" i="15"/>
  <c r="W8" i="15"/>
  <c r="W2" i="16"/>
  <c r="Y14" i="16"/>
  <c r="G2" i="17"/>
  <c r="E7" i="17"/>
  <c r="J8" i="17"/>
  <c r="I15" i="17"/>
  <c r="M2" i="18"/>
  <c r="J8" i="18"/>
  <c r="P13" i="18"/>
  <c r="W15" i="18"/>
  <c r="D17" i="18"/>
  <c r="S2" i="19"/>
  <c r="S3" i="19"/>
  <c r="F7" i="19"/>
  <c r="S8" i="19"/>
  <c r="J12" i="19"/>
  <c r="T13" i="19"/>
  <c r="E15" i="19"/>
  <c r="I2" i="17"/>
  <c r="F7" i="17"/>
  <c r="N8" i="17"/>
  <c r="N15" i="17"/>
  <c r="N2" i="18"/>
  <c r="K8" i="18"/>
  <c r="X15" i="18"/>
  <c r="E17" i="18"/>
  <c r="U2" i="19"/>
  <c r="T3" i="19"/>
  <c r="G7" i="19"/>
  <c r="T8" i="19"/>
  <c r="L12" i="19"/>
  <c r="V13" i="19"/>
  <c r="F15" i="19"/>
  <c r="Y15" i="18"/>
  <c r="G17" i="18"/>
  <c r="V2" i="19"/>
  <c r="U3" i="19"/>
  <c r="H7" i="19"/>
  <c r="V8" i="19"/>
  <c r="P12" i="19"/>
  <c r="W13" i="19"/>
  <c r="G15" i="19"/>
  <c r="AA8" i="15"/>
  <c r="W2" i="17"/>
  <c r="J7" i="17"/>
  <c r="Q8" i="17"/>
  <c r="R2" i="18"/>
  <c r="O8" i="18"/>
  <c r="L14" i="18"/>
  <c r="AA15" i="18"/>
  <c r="J17" i="18"/>
  <c r="X2" i="19"/>
  <c r="W3" i="19"/>
  <c r="M7" i="19"/>
  <c r="Y8" i="19"/>
  <c r="R12" i="19"/>
  <c r="Z13" i="19"/>
  <c r="L15" i="19"/>
  <c r="C17" i="19"/>
  <c r="S2" i="18"/>
  <c r="P8" i="18"/>
  <c r="Q14" i="18"/>
  <c r="AB15" i="18"/>
  <c r="L17" i="18"/>
  <c r="Z2" i="19"/>
  <c r="Y3" i="19"/>
  <c r="R7" i="19"/>
  <c r="Z8" i="19"/>
  <c r="T12" i="19"/>
  <c r="AA13" i="19"/>
  <c r="M15" i="19"/>
  <c r="E17" i="19"/>
  <c r="O15" i="19"/>
  <c r="F17" i="19"/>
  <c r="P7" i="17"/>
  <c r="T8" i="17"/>
  <c r="D13" i="17"/>
  <c r="R8" i="18"/>
  <c r="U14" i="18"/>
  <c r="N17" i="18"/>
  <c r="AA3" i="19"/>
  <c r="AB8" i="19"/>
  <c r="V12" i="19"/>
  <c r="F14" i="19"/>
  <c r="P15" i="19"/>
  <c r="G17" i="19"/>
  <c r="J6" i="15"/>
  <c r="C8" i="15"/>
  <c r="C17" i="16"/>
  <c r="R7" i="17"/>
  <c r="U8" i="17"/>
  <c r="N13" i="17"/>
  <c r="X2" i="18"/>
  <c r="S8" i="18"/>
  <c r="V14" i="18"/>
  <c r="O17" i="18"/>
  <c r="C3" i="19"/>
  <c r="AB3" i="19"/>
  <c r="C8" i="19"/>
  <c r="Y12" i="19"/>
  <c r="G14" i="19"/>
  <c r="Q15" i="19"/>
  <c r="M17" i="19"/>
  <c r="T8" i="18"/>
  <c r="X14" i="18"/>
  <c r="P17" i="18"/>
  <c r="D3" i="19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J17" i="16"/>
  <c r="V7" i="17"/>
  <c r="AA8" i="17"/>
  <c r="U13" i="17"/>
  <c r="G7" i="18"/>
  <c r="W8" i="18"/>
  <c r="S17" i="18"/>
  <c r="G3" i="19"/>
  <c r="E6" i="19"/>
  <c r="G8" i="19"/>
  <c r="C13" i="19"/>
  <c r="L14" i="19"/>
  <c r="AB15" i="19"/>
  <c r="V17" i="19"/>
  <c r="T17" i="18"/>
  <c r="H3" i="19"/>
  <c r="G6" i="19"/>
  <c r="H8" i="19"/>
  <c r="D13" i="19"/>
  <c r="O14" i="19"/>
  <c r="Y17" i="19"/>
  <c r="C15" i="18"/>
  <c r="U17" i="18"/>
  <c r="C2" i="19"/>
  <c r="I3" i="19"/>
  <c r="H6" i="19"/>
  <c r="J8" i="19"/>
  <c r="E13" i="19"/>
  <c r="Q14" i="19"/>
  <c r="AA17" i="19"/>
  <c r="Y14" i="9"/>
  <c r="Y14" i="10"/>
  <c r="Q6" i="15"/>
  <c r="V17" i="18"/>
  <c r="J3" i="19"/>
  <c r="J6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<sst xmlns="http://schemas.openxmlformats.org/spreadsheetml/2006/main" count="3113" uniqueCount="587">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</sst>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67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ID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7.8551106197992954E-3</v>
      </c>
      <c r="C2" s="7">
        <f>$B2 * IFERROR(VLOOKUP("transport|PM25|Premature mortality", US_national_yearly!$D:$AM, 11, FALSE) / VLOOKUP("transport|PM25|Premature mortality", US_national_yearly!$D:$AM, 10, FALSE), 1)</f>
        <v>7.9524967771188032E-3</v>
      </c>
      <c r="D2" s="7">
        <f>$B2 * IFERROR(VLOOKUP("transport|PM25|Premature mortality", US_national_yearly!$D:$AM, 12, FALSE) / VLOOKUP("transport|PM25|Premature mortality", US_national_yearly!$D:$AM, 10, FALSE), 1)</f>
        <v>8.0498829344383092E-3</v>
      </c>
      <c r="E2" s="7">
        <f>$B2 * IFERROR(VLOOKUP("transport|PM25|Premature mortality", US_national_yearly!$D:$AM, 13, FALSE) / VLOOKUP("transport|PM25|Premature mortality", US_national_yearly!$D:$AM, 10, FALSE), 1)</f>
        <v>8.1472690917578153E-3</v>
      </c>
      <c r="F2" s="7">
        <f>$B2 * IFERROR(VLOOKUP("transport|PM25|Premature mortality", US_national_yearly!$D:$AM, 14, FALSE) / VLOOKUP("transport|PM25|Premature mortality", US_national_yearly!$D:$AM, 10, FALSE), 1)</f>
        <v>8.2446552490773196E-3</v>
      </c>
      <c r="G2" s="7">
        <f>$B2 * IFERROR(VLOOKUP("transport|PM25|Premature mortality", US_national_yearly!$D:$AM, 15, FALSE) / VLOOKUP("transport|PM25|Premature mortality", US_national_yearly!$D:$AM, 10, FALSE), 1)</f>
        <v>8.4343140559880458E-3</v>
      </c>
      <c r="H2" s="7">
        <f>$B2 * IFERROR(VLOOKUP("transport|PM25|Premature mortality", US_national_yearly!$D:$AM, 16, FALSE) / VLOOKUP("transport|PM25|Premature mortality", US_national_yearly!$D:$AM, 10, FALSE), 1)</f>
        <v>8.6239728628987721E-3</v>
      </c>
      <c r="I2" s="7">
        <f>$B2 * IFERROR(VLOOKUP("transport|PM25|Premature mortality", US_national_yearly!$D:$AM, 17, FALSE) / VLOOKUP("transport|PM25|Premature mortality", US_national_yearly!$D:$AM, 10, FALSE), 1)</f>
        <v>8.7485487509908998E-3</v>
      </c>
      <c r="J2" s="7">
        <f>$B2 * IFERROR(VLOOKUP("transport|PM25|Premature mortality", US_national_yearly!$D:$AM, 18, FALSE) / VLOOKUP("transport|PM25|Premature mortality", US_national_yearly!$D:$AM, 10, FALSE), 1)</f>
        <v>8.8731246390830309E-3</v>
      </c>
      <c r="K2" s="7">
        <f>$B2 * IFERROR(VLOOKUP("transport|PM25|Premature mortality", US_national_yearly!$D:$AM, 19, FALSE) / VLOOKUP("transport|PM25|Premature mortality", US_national_yearly!$D:$AM, 10, FALSE), 1)</f>
        <v>8.9977005271751603E-3</v>
      </c>
      <c r="L2" s="7">
        <f>$B2 * IFERROR(VLOOKUP("transport|PM25|Premature mortality", US_national_yearly!$D:$AM, 20, FALSE) / VLOOKUP("transport|PM25|Premature mortality", US_national_yearly!$D:$AM, 10, FALSE), 1)</f>
        <v>9.1222764152672914E-3</v>
      </c>
      <c r="M2" s="7">
        <f>$B2 * IFERROR(VLOOKUP("transport|PM25|Premature mortality", US_national_yearly!$D:$AM, 21, FALSE) / VLOOKUP("transport|PM25|Premature mortality", US_national_yearly!$D:$AM, 10, FALSE), 1)</f>
        <v>9.2468523033594208E-3</v>
      </c>
      <c r="N2" s="7">
        <f>$B2 * IFERROR(VLOOKUP("transport|PM25|Premature mortality", US_national_yearly!$D:$AM, 22, FALSE) / VLOOKUP("transport|PM25|Premature mortality", US_national_yearly!$D:$AM, 10, FALSE), 1)</f>
        <v>9.3435775519502291E-3</v>
      </c>
      <c r="O2" s="7">
        <f>$B2 * IFERROR(VLOOKUP("transport|PM25|Premature mortality", US_national_yearly!$D:$AM, 23, FALSE) / VLOOKUP("transport|PM25|Premature mortality", US_national_yearly!$D:$AM, 10, FALSE), 1)</f>
        <v>9.4403028005410356E-3</v>
      </c>
      <c r="P2" s="7">
        <f>$B2 * IFERROR(VLOOKUP("transport|PM25|Premature mortality", US_national_yearly!$D:$AM, 24, FALSE) / VLOOKUP("transport|PM25|Premature mortality", US_national_yearly!$D:$AM, 10, FALSE), 1)</f>
        <v>9.5370280491318422E-3</v>
      </c>
      <c r="Q2" s="7">
        <f>$B2 * IFERROR(VLOOKUP("transport|PM25|Premature mortality", US_national_yearly!$D:$AM, 25, FALSE) / VLOOKUP("transport|PM25|Premature mortality", US_national_yearly!$D:$AM, 10, FALSE), 1)</f>
        <v>9.6337532977226505E-3</v>
      </c>
      <c r="R2" s="7">
        <f>$B2 * IFERROR(VLOOKUP("transport|PM25|Premature mortality", US_national_yearly!$D:$AM, 26, FALSE) / VLOOKUP("transport|PM25|Premature mortality", US_national_yearly!$D:$AM, 10, FALSE), 1)</f>
        <v>9.7304785463134588E-3</v>
      </c>
      <c r="S2" s="7">
        <f>$B2 * IFERROR(VLOOKUP("transport|PM25|Premature mortality", US_national_yearly!$D:$AM, 27, FALSE) / VLOOKUP("transport|PM25|Premature mortality", US_national_yearly!$D:$AM, 10, FALSE), 1)</f>
        <v>9.7817207092139487E-3</v>
      </c>
      <c r="T2" s="7">
        <f>$B2 * IFERROR(VLOOKUP("transport|PM25|Premature mortality", US_national_yearly!$D:$AM, 28, FALSE) / VLOOKUP("transport|PM25|Premature mortality", US_national_yearly!$D:$AM, 10, FALSE), 1)</f>
        <v>9.8329628721144351E-3</v>
      </c>
      <c r="U2" s="7">
        <f>$B2 * IFERROR(VLOOKUP("transport|PM25|Premature mortality", US_national_yearly!$D:$AM, 29, FALSE) / VLOOKUP("transport|PM25|Premature mortality", US_national_yearly!$D:$AM, 10, FALSE), 1)</f>
        <v>9.8842050350149216E-3</v>
      </c>
      <c r="V2" s="7">
        <f>$B2 * IFERROR(VLOOKUP("transport|PM25|Premature mortality", US_national_yearly!$D:$AM, 30, FALSE) / VLOOKUP("transport|PM25|Premature mortality", US_national_yearly!$D:$AM, 10, FALSE), 1)</f>
        <v>9.935447197915408E-3</v>
      </c>
      <c r="W2" s="7">
        <f>$B2 * IFERROR(VLOOKUP("transport|PM25|Premature mortality", US_national_yearly!$D:$AM, 31, FALSE) / VLOOKUP("transport|PM25|Premature mortality", US_national_yearly!$D:$AM, 10, FALSE), 1)</f>
        <v>9.9866893608158962E-3</v>
      </c>
      <c r="X2" s="7">
        <f>$B2 * IFERROR(VLOOKUP("transport|PM25|Premature mortality", US_national_yearly!$D:$AM, 32, FALSE) / VLOOKUP("transport|PM25|Premature mortality", US_national_yearly!$D:$AM, 10, FALSE), 1)</f>
        <v>9.995649449384636E-3</v>
      </c>
      <c r="Y2" s="7">
        <f>$B2 * IFERROR(VLOOKUP("transport|PM25|Premature mortality", US_national_yearly!$D:$AM, 33, FALSE) / VLOOKUP("transport|PM25|Premature mortality", US_national_yearly!$D:$AM, 10, FALSE), 1)</f>
        <v>1.0004609537953376E-2</v>
      </c>
      <c r="Z2" s="7">
        <f>$B2 * IFERROR(VLOOKUP("transport|PM25|Premature mortality", US_national_yearly!$D:$AM, 34, FALSE) / VLOOKUP("transport|PM25|Premature mortality", US_national_yearly!$D:$AM, 10, FALSE), 1)</f>
        <v>1.0013569626522115E-2</v>
      </c>
      <c r="AA2" s="7">
        <f>$B2 * IFERROR(VLOOKUP("transport|PM25|Premature mortality", US_national_yearly!$D:$AM, 35, FALSE) / VLOOKUP("transport|PM25|Premature mortality", US_national_yearly!$D:$AM, 10, FALSE), 1)</f>
        <v>1.0022529715090857E-2</v>
      </c>
      <c r="AB2" s="7">
        <f>$B2 * IFERROR(VLOOKUP("transport|PM25|Premature mortality", US_national_yearly!$D:$AM, 36, FALSE) / VLOOKUP("transport|PM25|Premature mortality", US_national_yearly!$D:$AM, 10, FALSE), 1)</f>
        <v>1.0031489803659597E-2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2.2683900462250834E-5</v>
      </c>
      <c r="C3" s="7">
        <f>$B3 * IFERROR(VLOOKUP("transport|PM25|Infant mortality", US_national_yearly!$D:$AM, 11, FALSE) / VLOOKUP("transport|PM25|Infant mortality", US_national_yearly!$D:$AM, 10, FALSE), 1)</f>
        <v>2.248611754942672E-5</v>
      </c>
      <c r="D3" s="7">
        <f>$B3 * IFERROR(VLOOKUP("transport|PM25|Infant mortality", US_national_yearly!$D:$AM, 12, FALSE) / VLOOKUP("transport|PM25|Infant mortality", US_national_yearly!$D:$AM, 10, FALSE), 1)</f>
        <v>2.2288334636602602E-5</v>
      </c>
      <c r="E3" s="7">
        <f>$B3 * IFERROR(VLOOKUP("transport|PM25|Infant mortality", US_national_yearly!$D:$AM, 13, FALSE) / VLOOKUP("transport|PM25|Infant mortality", US_national_yearly!$D:$AM, 10, FALSE), 1)</f>
        <v>2.2090551723778487E-5</v>
      </c>
      <c r="F3" s="7">
        <f>$B3 * IFERROR(VLOOKUP("transport|PM25|Infant mortality", US_national_yearly!$D:$AM, 14, FALSE) / VLOOKUP("transport|PM25|Infant mortality", US_national_yearly!$D:$AM, 10, FALSE), 1)</f>
        <v>2.1892768810954366E-5</v>
      </c>
      <c r="G3" s="7">
        <f>$B3 * IFERROR(VLOOKUP("transport|PM25|Infant mortality", US_national_yearly!$D:$AM, 15, FALSE) / VLOOKUP("transport|PM25|Infant mortality", US_national_yearly!$D:$AM, 10, FALSE), 1)</f>
        <v>1.4559862346312445E-5</v>
      </c>
      <c r="H3" s="7">
        <f>$B3 * IFERROR(VLOOKUP("transport|PM25|Infant mortality", US_national_yearly!$D:$AM, 16, FALSE) / VLOOKUP("transport|PM25|Infant mortality", US_national_yearly!$D:$AM, 10, FALSE), 1)</f>
        <v>7.2269558816705197E-6</v>
      </c>
      <c r="I3" s="7">
        <f>$B3 * IFERROR(VLOOKUP("transport|PM25|Infant mortality", US_national_yearly!$D:$AM, 17, FALSE) / VLOOKUP("transport|PM25|Infant mortality", US_national_yearly!$D:$AM, 10, FALSE), 1)</f>
        <v>7.1797157871173063E-6</v>
      </c>
      <c r="J3" s="7">
        <f>$B3 * IFERROR(VLOOKUP("transport|PM25|Infant mortality", US_national_yearly!$D:$AM, 18, FALSE) / VLOOKUP("transport|PM25|Infant mortality", US_national_yearly!$D:$AM, 10, FALSE), 1)</f>
        <v>7.1324756925640911E-6</v>
      </c>
      <c r="K3" s="7">
        <f>$B3 * IFERROR(VLOOKUP("transport|PM25|Infant mortality", US_national_yearly!$D:$AM, 19, FALSE) / VLOOKUP("transport|PM25|Infant mortality", US_national_yearly!$D:$AM, 10, FALSE), 1)</f>
        <v>7.0852355980108769E-6</v>
      </c>
      <c r="L3" s="7">
        <f>$B3 * IFERROR(VLOOKUP("transport|PM25|Infant mortality", US_national_yearly!$D:$AM, 20, FALSE) / VLOOKUP("transport|PM25|Infant mortality", US_national_yearly!$D:$AM, 10, FALSE), 1)</f>
        <v>7.0379955034576634E-6</v>
      </c>
      <c r="M3" s="7">
        <f>$B3 * IFERROR(VLOOKUP("transport|PM25|Infant mortality", US_national_yearly!$D:$AM, 21, FALSE) / VLOOKUP("transport|PM25|Infant mortality", US_national_yearly!$D:$AM, 10, FALSE), 1)</f>
        <v>6.9907554089044492E-6</v>
      </c>
      <c r="N3" s="7">
        <f>$B3 * IFERROR(VLOOKUP("transport|PM25|Infant mortality", US_national_yearly!$D:$AM, 22, FALSE) / VLOOKUP("transport|PM25|Infant mortality", US_national_yearly!$D:$AM, 10, FALSE), 1)</f>
        <v>6.9610833995357794E-6</v>
      </c>
      <c r="O3" s="7">
        <f>$B3 * IFERROR(VLOOKUP("transport|PM25|Infant mortality", US_national_yearly!$D:$AM, 23, FALSE) / VLOOKUP("transport|PM25|Infant mortality", US_national_yearly!$D:$AM, 10, FALSE), 1)</f>
        <v>6.9314113901671114E-6</v>
      </c>
      <c r="P3" s="7">
        <f>$B3 * IFERROR(VLOOKUP("transport|PM25|Infant mortality", US_national_yearly!$D:$AM, 24, FALSE) / VLOOKUP("transport|PM25|Infant mortality", US_national_yearly!$D:$AM, 10, FALSE), 1)</f>
        <v>6.90173938079844E-6</v>
      </c>
      <c r="Q3" s="7">
        <f>$B3 * IFERROR(VLOOKUP("transport|PM25|Infant mortality", US_national_yearly!$D:$AM, 25, FALSE) / VLOOKUP("transport|PM25|Infant mortality", US_national_yearly!$D:$AM, 10, FALSE), 1)</f>
        <v>6.8720673714297711E-6</v>
      </c>
      <c r="R3" s="7">
        <f>$B3 * IFERROR(VLOOKUP("transport|PM25|Infant mortality", US_national_yearly!$D:$AM, 26, FALSE) / VLOOKUP("transport|PM25|Infant mortality", US_national_yearly!$D:$AM, 10, FALSE), 1)</f>
        <v>6.8423953620611014E-6</v>
      </c>
      <c r="S3" s="7">
        <f>$B3 * IFERROR(VLOOKUP("transport|PM25|Infant mortality", US_national_yearly!$D:$AM, 27, FALSE) / VLOOKUP("transport|PM25|Infant mortality", US_national_yearly!$D:$AM, 10, FALSE), 1)</f>
        <v>6.805408595691389E-6</v>
      </c>
      <c r="T3" s="7">
        <f>$B3 * IFERROR(VLOOKUP("transport|PM25|Infant mortality", US_national_yearly!$D:$AM, 28, FALSE) / VLOOKUP("transport|PM25|Infant mortality", US_national_yearly!$D:$AM, 10, FALSE), 1)</f>
        <v>6.7684218293216749E-6</v>
      </c>
      <c r="U3" s="7">
        <f>$B3 * IFERROR(VLOOKUP("transport|PM25|Infant mortality", US_national_yearly!$D:$AM, 29, FALSE) / VLOOKUP("transport|PM25|Infant mortality", US_national_yearly!$D:$AM, 10, FALSE), 1)</f>
        <v>6.7314350629519617E-6</v>
      </c>
      <c r="V3" s="7">
        <f>$B3 * IFERROR(VLOOKUP("transport|PM25|Infant mortality", US_national_yearly!$D:$AM, 30, FALSE) / VLOOKUP("transport|PM25|Infant mortality", US_national_yearly!$D:$AM, 10, FALSE), 1)</f>
        <v>6.6944482965822493E-6</v>
      </c>
      <c r="W3" s="7">
        <f>$B3 * IFERROR(VLOOKUP("transport|PM25|Infant mortality", US_national_yearly!$D:$AM, 31, FALSE) / VLOOKUP("transport|PM25|Infant mortality", US_national_yearly!$D:$AM, 10, FALSE), 1)</f>
        <v>6.6574615302125352E-6</v>
      </c>
      <c r="X3" s="7">
        <f>$B3 * IFERROR(VLOOKUP("transport|PM25|Infant mortality", US_national_yearly!$D:$AM, 32, FALSE) / VLOOKUP("transport|PM25|Infant mortality", US_national_yearly!$D:$AM, 10, FALSE), 1)</f>
        <v>6.6175851473171617E-6</v>
      </c>
      <c r="Y3" s="7">
        <f>$B3 * IFERROR(VLOOKUP("transport|PM25|Infant mortality", US_national_yearly!$D:$AM, 33, FALSE) / VLOOKUP("transport|PM25|Infant mortality", US_national_yearly!$D:$AM, 10, FALSE), 1)</f>
        <v>6.5777087644217857E-6</v>
      </c>
      <c r="Z3" s="7">
        <f>$B3 * IFERROR(VLOOKUP("transport|PM25|Infant mortality", US_national_yearly!$D:$AM, 34, FALSE) / VLOOKUP("transport|PM25|Infant mortality", US_national_yearly!$D:$AM, 10, FALSE), 1)</f>
        <v>6.5378323815264131E-6</v>
      </c>
      <c r="AA3" s="7">
        <f>$B3 * IFERROR(VLOOKUP("transport|PM25|Infant mortality", US_national_yearly!$D:$AM, 35, FALSE) / VLOOKUP("transport|PM25|Infant mortality", US_national_yearly!$D:$AM, 10, FALSE), 1)</f>
        <v>6.497955998631038E-6</v>
      </c>
      <c r="AB3" s="7">
        <f>$B3 * IFERROR(VLOOKUP("transport|PM25|Infant mortality", US_national_yearly!$D:$AM, 36, FALSE) / VLOOKUP("transport|PM25|Infant mortality", US_national_yearly!$D:$AM, 10, FALSE), 1)</f>
        <v>6.4580796157356645E-6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2.4431503596364066E-2</v>
      </c>
      <c r="C6" s="7">
        <f>$B6 * IFERROR(VLOOKUP("transport|PM25|Asthma symptoms cough", US_national_yearly!$D:$AM, 11, FALSE) / VLOOKUP("transport|PM25|Asthma symptoms cough", US_national_yearly!$D:$AM, 10, FALSE), 1)</f>
        <v>2.4431503596364066E-2</v>
      </c>
      <c r="D6" s="7">
        <f>$B6 * IFERROR(VLOOKUP("transport|PM25|Asthma symptoms cough", US_national_yearly!$D:$AM, 12, FALSE) / VLOOKUP("transport|PM25|Asthma symptoms cough", US_national_yearly!$D:$AM, 10, FALSE), 1)</f>
        <v>2.4431503596364066E-2</v>
      </c>
      <c r="E6" s="7">
        <f>$B6 * IFERROR(VLOOKUP("transport|PM25|Asthma symptoms cough", US_national_yearly!$D:$AM, 13, FALSE) / VLOOKUP("transport|PM25|Asthma symptoms cough", US_national_yearly!$D:$AM, 10, FALSE), 1)</f>
        <v>2.4431503596364066E-2</v>
      </c>
      <c r="F6" s="7">
        <f>$B6 * IFERROR(VLOOKUP("transport|PM25|Asthma symptoms cough", US_national_yearly!$D:$AM, 14, FALSE) / VLOOKUP("transport|PM25|Asthma symptoms cough", US_national_yearly!$D:$AM, 10, FALSE), 1)</f>
        <v>2.4431503596364066E-2</v>
      </c>
      <c r="G6" s="7">
        <f>$B6 * IFERROR(VLOOKUP("transport|PM25|Asthma symptoms cough", US_national_yearly!$D:$AM, 15, FALSE) / VLOOKUP("transport|PM25|Asthma symptoms cough", US_national_yearly!$D:$AM, 10, FALSE), 1)</f>
        <v>2.4431503596364066E-2</v>
      </c>
      <c r="H6" s="7">
        <f>$B6 * IFERROR(VLOOKUP("transport|PM25|Asthma symptoms cough", US_national_yearly!$D:$AM, 16, FALSE) / VLOOKUP("transport|PM25|Asthma symptoms cough", US_national_yearly!$D:$AM, 10, FALSE), 1)</f>
        <v>2.4431503596364066E-2</v>
      </c>
      <c r="I6" s="7">
        <f>$B6 * IFERROR(VLOOKUP("transport|PM25|Asthma symptoms cough", US_national_yearly!$D:$AM, 17, FALSE) / VLOOKUP("transport|PM25|Asthma symptoms cough", US_national_yearly!$D:$AM, 10, FALSE), 1)</f>
        <v>2.4431503596364066E-2</v>
      </c>
      <c r="J6" s="7">
        <f>$B6 * IFERROR(VLOOKUP("transport|PM25|Asthma symptoms cough", US_national_yearly!$D:$AM, 18, FALSE) / VLOOKUP("transport|PM25|Asthma symptoms cough", US_national_yearly!$D:$AM, 10, FALSE), 1)</f>
        <v>2.4431503596364066E-2</v>
      </c>
      <c r="K6" s="7">
        <f>$B6 * IFERROR(VLOOKUP("transport|PM25|Asthma symptoms cough", US_national_yearly!$D:$AM, 19, FALSE) / VLOOKUP("transport|PM25|Asthma symptoms cough", US_national_yearly!$D:$AM, 10, FALSE), 1)</f>
        <v>2.4431503596364066E-2</v>
      </c>
      <c r="L6" s="7">
        <f>$B6 * IFERROR(VLOOKUP("transport|PM25|Asthma symptoms cough", US_national_yearly!$D:$AM, 20, FALSE) / VLOOKUP("transport|PM25|Asthma symptoms cough", US_national_yearly!$D:$AM, 10, FALSE), 1)</f>
        <v>2.4431503596364066E-2</v>
      </c>
      <c r="M6" s="7">
        <f>$B6 * IFERROR(VLOOKUP("transport|PM25|Asthma symptoms cough", US_national_yearly!$D:$AM, 21, FALSE) / VLOOKUP("transport|PM25|Asthma symptoms cough", US_national_yearly!$D:$AM, 10, FALSE), 1)</f>
        <v>2.4431503596364066E-2</v>
      </c>
      <c r="N6" s="7">
        <f>$B6 * IFERROR(VLOOKUP("transport|PM25|Asthma symptoms cough", US_national_yearly!$D:$AM, 22, FALSE) / VLOOKUP("transport|PM25|Asthma symptoms cough", US_national_yearly!$D:$AM, 10, FALSE), 1)</f>
        <v>2.4431503596364066E-2</v>
      </c>
      <c r="O6" s="7">
        <f>$B6 * IFERROR(VLOOKUP("transport|PM25|Asthma symptoms cough", US_national_yearly!$D:$AM, 23, FALSE) / VLOOKUP("transport|PM25|Asthma symptoms cough", US_national_yearly!$D:$AM, 10, FALSE), 1)</f>
        <v>2.4431503596364066E-2</v>
      </c>
      <c r="P6" s="7">
        <f>$B6 * IFERROR(VLOOKUP("transport|PM25|Asthma symptoms cough", US_national_yearly!$D:$AM, 24, FALSE) / VLOOKUP("transport|PM25|Asthma symptoms cough", US_national_yearly!$D:$AM, 10, FALSE), 1)</f>
        <v>2.4431503596364066E-2</v>
      </c>
      <c r="Q6" s="7">
        <f>$B6 * IFERROR(VLOOKUP("transport|PM25|Asthma symptoms cough", US_national_yearly!$D:$AM, 25, FALSE) / VLOOKUP("transport|PM25|Asthma symptoms cough", US_national_yearly!$D:$AM, 10, FALSE), 1)</f>
        <v>2.4431503596364066E-2</v>
      </c>
      <c r="R6" s="7">
        <f>$B6 * IFERROR(VLOOKUP("transport|PM25|Asthma symptoms cough", US_national_yearly!$D:$AM, 26, FALSE) / VLOOKUP("transport|PM25|Asthma symptoms cough", US_national_yearly!$D:$AM, 10, FALSE), 1)</f>
        <v>2.4431503596364066E-2</v>
      </c>
      <c r="S6" s="7">
        <f>$B6 * IFERROR(VLOOKUP("transport|PM25|Asthma symptoms cough", US_national_yearly!$D:$AM, 27, FALSE) / VLOOKUP("transport|PM25|Asthma symptoms cough", US_national_yearly!$D:$AM, 10, FALSE), 1)</f>
        <v>2.4431503596364066E-2</v>
      </c>
      <c r="T6" s="7">
        <f>$B6 * IFERROR(VLOOKUP("transport|PM25|Asthma symptoms cough", US_national_yearly!$D:$AM, 28, FALSE) / VLOOKUP("transport|PM25|Asthma symptoms cough", US_national_yearly!$D:$AM, 10, FALSE), 1)</f>
        <v>2.4431503596364066E-2</v>
      </c>
      <c r="U6" s="7">
        <f>$B6 * IFERROR(VLOOKUP("transport|PM25|Asthma symptoms cough", US_national_yearly!$D:$AM, 29, FALSE) / VLOOKUP("transport|PM25|Asthma symptoms cough", US_national_yearly!$D:$AM, 10, FALSE), 1)</f>
        <v>2.4431503596364066E-2</v>
      </c>
      <c r="V6" s="7">
        <f>$B6 * IFERROR(VLOOKUP("transport|PM25|Asthma symptoms cough", US_national_yearly!$D:$AM, 30, FALSE) / VLOOKUP("transport|PM25|Asthma symptoms cough", US_national_yearly!$D:$AM, 10, FALSE), 1)</f>
        <v>2.4431503596364066E-2</v>
      </c>
      <c r="W6" s="7">
        <f>$B6 * IFERROR(VLOOKUP("transport|PM25|Asthma symptoms cough", US_national_yearly!$D:$AM, 31, FALSE) / VLOOKUP("transport|PM25|Asthma symptoms cough", US_national_yearly!$D:$AM, 10, FALSE), 1)</f>
        <v>2.4431503596364066E-2</v>
      </c>
      <c r="X6" s="7">
        <f>$B6 * IFERROR(VLOOKUP("transport|PM25|Asthma symptoms cough", US_national_yearly!$D:$AM, 32, FALSE) / VLOOKUP("transport|PM25|Asthma symptoms cough", US_national_yearly!$D:$AM, 10, FALSE), 1)</f>
        <v>2.4431503596364066E-2</v>
      </c>
      <c r="Y6" s="7">
        <f>$B6 * IFERROR(VLOOKUP("transport|PM25|Asthma symptoms cough", US_national_yearly!$D:$AM, 33, FALSE) / VLOOKUP("transport|PM25|Asthma symptoms cough", US_national_yearly!$D:$AM, 10, FALSE), 1)</f>
        <v>2.4431503596364066E-2</v>
      </c>
      <c r="Z6" s="7">
        <f>$B6 * IFERROR(VLOOKUP("transport|PM25|Asthma symptoms cough", US_national_yearly!$D:$AM, 34, FALSE) / VLOOKUP("transport|PM25|Asthma symptoms cough", US_national_yearly!$D:$AM, 10, FALSE), 1)</f>
        <v>2.4431503596364066E-2</v>
      </c>
      <c r="AA6" s="7">
        <f>$B6 * IFERROR(VLOOKUP("transport|PM25|Asthma symptoms cough", US_national_yearly!$D:$AM, 35, FALSE) / VLOOKUP("transport|PM25|Asthma symptoms cough", US_national_yearly!$D:$AM, 10, FALSE), 1)</f>
        <v>2.4431503596364066E-2</v>
      </c>
      <c r="AB6" s="7">
        <f>$B6 * IFERROR(VLOOKUP("transport|PM25|Asthma symptoms cough", US_national_yearly!$D:$AM, 36, FALSE) / VLOOKUP("transport|PM25|Asthma symptoms cough", US_national_yearly!$D:$AM, 10, FALSE), 1)</f>
        <v>2.4431503596364066E-2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3.2900154358446808E-2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3.2900154358446808E-2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3.2900154358446808E-2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3.2900154358446808E-2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3.2900154358446808E-2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3.2900154358446808E-2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3.2900154358446808E-2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3.2900154358446808E-2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3.2900154358446808E-2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3.2900154358446808E-2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3.2900154358446808E-2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3.2900154358446808E-2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3.2900154358446808E-2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3.2900154358446808E-2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3.2900154358446808E-2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3.2900154358446808E-2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3.2900154358446808E-2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3.2900154358446808E-2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3.2900154358446808E-2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3.2900154358446808E-2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3.2900154358446808E-2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3.2900154358446808E-2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3.2900154358446808E-2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3.2900154358446808E-2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3.2900154358446808E-2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3.2900154358446808E-2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3.2900154358446808E-2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5.0267323541242803E-2</v>
      </c>
      <c r="C8" s="7">
        <f>$B8 * IFERROR(VLOOKUP("transport|PM25|Asthma symptoms wheeze", US_national_yearly!$D:$AM, 11, FALSE) / VLOOKUP("transport|PM25|Asthma symptoms wheeze", US_national_yearly!$D:$AM, 10, FALSE), 1)</f>
        <v>5.0267323541242803E-2</v>
      </c>
      <c r="D8" s="7">
        <f>$B8 * IFERROR(VLOOKUP("transport|PM25|Asthma symptoms wheeze", US_national_yearly!$D:$AM, 12, FALSE) / VLOOKUP("transport|PM25|Asthma symptoms wheeze", US_national_yearly!$D:$AM, 10, FALSE), 1)</f>
        <v>5.0267323541242803E-2</v>
      </c>
      <c r="E8" s="7">
        <f>$B8 * IFERROR(VLOOKUP("transport|PM25|Asthma symptoms wheeze", US_national_yearly!$D:$AM, 13, FALSE) / VLOOKUP("transport|PM25|Asthma symptoms wheeze", US_national_yearly!$D:$AM, 10, FALSE), 1)</f>
        <v>5.0267323541242803E-2</v>
      </c>
      <c r="F8" s="7">
        <f>$B8 * IFERROR(VLOOKUP("transport|PM25|Asthma symptoms wheeze", US_national_yearly!$D:$AM, 14, FALSE) / VLOOKUP("transport|PM25|Asthma symptoms wheeze", US_national_yearly!$D:$AM, 10, FALSE), 1)</f>
        <v>5.0267323541242803E-2</v>
      </c>
      <c r="G8" s="7">
        <f>$B8 * IFERROR(VLOOKUP("transport|PM25|Asthma symptoms wheeze", US_national_yearly!$D:$AM, 15, FALSE) / VLOOKUP("transport|PM25|Asthma symptoms wheeze", US_national_yearly!$D:$AM, 10, FALSE), 1)</f>
        <v>5.0267323541242803E-2</v>
      </c>
      <c r="H8" s="7">
        <f>$B8 * IFERROR(VLOOKUP("transport|PM25|Asthma symptoms wheeze", US_national_yearly!$D:$AM, 16, FALSE) / VLOOKUP("transport|PM25|Asthma symptoms wheeze", US_national_yearly!$D:$AM, 10, FALSE), 1)</f>
        <v>5.0267323541242803E-2</v>
      </c>
      <c r="I8" s="7">
        <f>$B8 * IFERROR(VLOOKUP("transport|PM25|Asthma symptoms wheeze", US_national_yearly!$D:$AM, 17, FALSE) / VLOOKUP("transport|PM25|Asthma symptoms wheeze", US_national_yearly!$D:$AM, 10, FALSE), 1)</f>
        <v>5.0267323541242803E-2</v>
      </c>
      <c r="J8" s="7">
        <f>$B8 * IFERROR(VLOOKUP("transport|PM25|Asthma symptoms wheeze", US_national_yearly!$D:$AM, 18, FALSE) / VLOOKUP("transport|PM25|Asthma symptoms wheeze", US_national_yearly!$D:$AM, 10, FALSE), 1)</f>
        <v>5.0267323541242803E-2</v>
      </c>
      <c r="K8" s="7">
        <f>$B8 * IFERROR(VLOOKUP("transport|PM25|Asthma symptoms wheeze", US_national_yearly!$D:$AM, 19, FALSE) / VLOOKUP("transport|PM25|Asthma symptoms wheeze", US_national_yearly!$D:$AM, 10, FALSE), 1)</f>
        <v>5.0267323541242803E-2</v>
      </c>
      <c r="L8" s="7">
        <f>$B8 * IFERROR(VLOOKUP("transport|PM25|Asthma symptoms wheeze", US_national_yearly!$D:$AM, 20, FALSE) / VLOOKUP("transport|PM25|Asthma symptoms wheeze", US_national_yearly!$D:$AM, 10, FALSE), 1)</f>
        <v>5.0267323541242803E-2</v>
      </c>
      <c r="M8" s="7">
        <f>$B8 * IFERROR(VLOOKUP("transport|PM25|Asthma symptoms wheeze", US_national_yearly!$D:$AM, 21, FALSE) / VLOOKUP("transport|PM25|Asthma symptoms wheeze", US_national_yearly!$D:$AM, 10, FALSE), 1)</f>
        <v>5.0267323541242803E-2</v>
      </c>
      <c r="N8" s="7">
        <f>$B8 * IFERROR(VLOOKUP("transport|PM25|Asthma symptoms wheeze", US_national_yearly!$D:$AM, 22, FALSE) / VLOOKUP("transport|PM25|Asthma symptoms wheeze", US_national_yearly!$D:$AM, 10, FALSE), 1)</f>
        <v>5.0267323541242803E-2</v>
      </c>
      <c r="O8" s="7">
        <f>$B8 * IFERROR(VLOOKUP("transport|PM25|Asthma symptoms wheeze", US_national_yearly!$D:$AM, 23, FALSE) / VLOOKUP("transport|PM25|Asthma symptoms wheeze", US_national_yearly!$D:$AM, 10, FALSE), 1)</f>
        <v>5.0267323541242803E-2</v>
      </c>
      <c r="P8" s="7">
        <f>$B8 * IFERROR(VLOOKUP("transport|PM25|Asthma symptoms wheeze", US_national_yearly!$D:$AM, 24, FALSE) / VLOOKUP("transport|PM25|Asthma symptoms wheeze", US_national_yearly!$D:$AM, 10, FALSE), 1)</f>
        <v>5.0267323541242803E-2</v>
      </c>
      <c r="Q8" s="7">
        <f>$B8 * IFERROR(VLOOKUP("transport|PM25|Asthma symptoms wheeze", US_national_yearly!$D:$AM, 25, FALSE) / VLOOKUP("transport|PM25|Asthma symptoms wheeze", US_national_yearly!$D:$AM, 10, FALSE), 1)</f>
        <v>5.0267323541242803E-2</v>
      </c>
      <c r="R8" s="7">
        <f>$B8 * IFERROR(VLOOKUP("transport|PM25|Asthma symptoms wheeze", US_national_yearly!$D:$AM, 26, FALSE) / VLOOKUP("transport|PM25|Asthma symptoms wheeze", US_national_yearly!$D:$AM, 10, FALSE), 1)</f>
        <v>5.0267323541242803E-2</v>
      </c>
      <c r="S8" s="7">
        <f>$B8 * IFERROR(VLOOKUP("transport|PM25|Asthma symptoms wheeze", US_national_yearly!$D:$AM, 27, FALSE) / VLOOKUP("transport|PM25|Asthma symptoms wheeze", US_national_yearly!$D:$AM, 10, FALSE), 1)</f>
        <v>5.0267323541242803E-2</v>
      </c>
      <c r="T8" s="7">
        <f>$B8 * IFERROR(VLOOKUP("transport|PM25|Asthma symptoms wheeze", US_national_yearly!$D:$AM, 28, FALSE) / VLOOKUP("transport|PM25|Asthma symptoms wheeze", US_national_yearly!$D:$AM, 10, FALSE), 1)</f>
        <v>5.0267323541242803E-2</v>
      </c>
      <c r="U8" s="7">
        <f>$B8 * IFERROR(VLOOKUP("transport|PM25|Asthma symptoms wheeze", US_national_yearly!$D:$AM, 29, FALSE) / VLOOKUP("transport|PM25|Asthma symptoms wheeze", US_national_yearly!$D:$AM, 10, FALSE), 1)</f>
        <v>5.0267323541242803E-2</v>
      </c>
      <c r="V8" s="7">
        <f>$B8 * IFERROR(VLOOKUP("transport|PM25|Asthma symptoms wheeze", US_national_yearly!$D:$AM, 30, FALSE) / VLOOKUP("transport|PM25|Asthma symptoms wheeze", US_national_yearly!$D:$AM, 10, FALSE), 1)</f>
        <v>5.0267323541242803E-2</v>
      </c>
      <c r="W8" s="7">
        <f>$B8 * IFERROR(VLOOKUP("transport|PM25|Asthma symptoms wheeze", US_national_yearly!$D:$AM, 31, FALSE) / VLOOKUP("transport|PM25|Asthma symptoms wheeze", US_national_yearly!$D:$AM, 10, FALSE), 1)</f>
        <v>5.0267323541242803E-2</v>
      </c>
      <c r="X8" s="7">
        <f>$B8 * IFERROR(VLOOKUP("transport|PM25|Asthma symptoms wheeze", US_national_yearly!$D:$AM, 32, FALSE) / VLOOKUP("transport|PM25|Asthma symptoms wheeze", US_national_yearly!$D:$AM, 10, FALSE), 1)</f>
        <v>5.0267323541242803E-2</v>
      </c>
      <c r="Y8" s="7">
        <f>$B8 * IFERROR(VLOOKUP("transport|PM25|Asthma symptoms wheeze", US_national_yearly!$D:$AM, 33, FALSE) / VLOOKUP("transport|PM25|Asthma symptoms wheeze", US_national_yearly!$D:$AM, 10, FALSE), 1)</f>
        <v>5.0267323541242803E-2</v>
      </c>
      <c r="Z8" s="7">
        <f>$B8 * IFERROR(VLOOKUP("transport|PM25|Asthma symptoms wheeze", US_national_yearly!$D:$AM, 34, FALSE) / VLOOKUP("transport|PM25|Asthma symptoms wheeze", US_national_yearly!$D:$AM, 10, FALSE), 1)</f>
        <v>5.0267323541242803E-2</v>
      </c>
      <c r="AA8" s="7">
        <f>$B8 * IFERROR(VLOOKUP("transport|PM25|Asthma symptoms wheeze", US_national_yearly!$D:$AM, 35, FALSE) / VLOOKUP("transport|PM25|Asthma symptoms wheeze", US_national_yearly!$D:$AM, 10, FALSE), 1)</f>
        <v>5.0267323541242803E-2</v>
      </c>
      <c r="AB8" s="7">
        <f>$B8 * IFERROR(VLOOKUP("transport|PM25|Asthma symptoms wheeze", US_national_yearly!$D:$AM, 36, FALSE) / VLOOKUP("transport|PM25|Asthma symptoms wheeze", US_national_yearly!$D:$AM, 10, FALSE), 1)</f>
        <v>5.0267323541242803E-2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5.4765819246005919E-4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5.5079714848179826E-4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5.5393610450353711E-4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5.5707506052527617E-4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5.6021401654701513E-4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5.6360422294352767E-4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5.6699442934004022E-4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5.7023364274606065E-4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5.7347285615208131E-4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5.7671206955810185E-4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5.7995128296412239E-4</v>
      </c>
      <c r="M12" s="7">
        <f>$B12 * IFERROR(VLOOKUP("transport|PM25|Respiratory hospital admissions", US_national_yearly!$D:$AM, 21, FALSE) / VLOOKUP("transport|PM25|Respiratory hospital admissions", US_national_yearly!$D:$AM, 10, FALSE), 1)</f>
        <v>5.8319049637014283E-4</v>
      </c>
      <c r="N12" s="7">
        <f>$B12 * IFERROR(VLOOKUP("transport|PM25|Respiratory hospital admissions", US_national_yearly!$D:$AM, 22, FALSE) / VLOOKUP("transport|PM25|Respiratory hospital admissions", US_national_yearly!$D:$AM, 10, FALSE), 1)</f>
        <v>5.8551537435781557E-4</v>
      </c>
      <c r="O12" s="7">
        <f>$B12 * IFERROR(VLOOKUP("transport|PM25|Respiratory hospital admissions", US_national_yearly!$D:$AM, 23, FALSE) / VLOOKUP("transport|PM25|Respiratory hospital admissions", US_national_yearly!$D:$AM, 10, FALSE), 1)</f>
        <v>5.8784025234548821E-4</v>
      </c>
      <c r="P12" s="7">
        <f>$B12 * IFERROR(VLOOKUP("transport|PM25|Respiratory hospital admissions", US_national_yearly!$D:$AM, 24, FALSE) / VLOOKUP("transport|PM25|Respiratory hospital admissions", US_national_yearly!$D:$AM, 10, FALSE), 1)</f>
        <v>5.9016513033316063E-4</v>
      </c>
      <c r="Q12" s="7">
        <f>$B12 * IFERROR(VLOOKUP("transport|PM25|Respiratory hospital admissions", US_national_yearly!$D:$AM, 25, FALSE) / VLOOKUP("transport|PM25|Respiratory hospital admissions", US_national_yearly!$D:$AM, 10, FALSE), 1)</f>
        <v>5.9249000832083327E-4</v>
      </c>
      <c r="R12" s="7">
        <f>$B12 * IFERROR(VLOOKUP("transport|PM25|Respiratory hospital admissions", US_national_yearly!$D:$AM, 26, FALSE) / VLOOKUP("transport|PM25|Respiratory hospital admissions", US_national_yearly!$D:$AM, 10, FALSE), 1)</f>
        <v>5.9481488630850601E-4</v>
      </c>
      <c r="S12" s="7">
        <f>$B12 * IFERROR(VLOOKUP("transport|PM25|Respiratory hospital admissions", US_national_yearly!$D:$AM, 27, FALSE) / VLOOKUP("transport|PM25|Respiratory hospital admissions", US_national_yearly!$D:$AM, 10, FALSE), 1)</f>
        <v>5.9702847649699094E-4</v>
      </c>
      <c r="T12" s="7">
        <f>$B12 * IFERROR(VLOOKUP("transport|PM25|Respiratory hospital admissions", US_national_yearly!$D:$AM, 28, FALSE) / VLOOKUP("transport|PM25|Respiratory hospital admissions", US_national_yearly!$D:$AM, 10, FALSE), 1)</f>
        <v>5.9924206668547609E-4</v>
      </c>
      <c r="U12" s="7">
        <f>$B12 * IFERROR(VLOOKUP("transport|PM25|Respiratory hospital admissions", US_national_yearly!$D:$AM, 29, FALSE) / VLOOKUP("transport|PM25|Respiratory hospital admissions", US_national_yearly!$D:$AM, 10, FALSE), 1)</f>
        <v>6.0145565687396113E-4</v>
      </c>
      <c r="V12" s="7">
        <f>$B12 * IFERROR(VLOOKUP("transport|PM25|Respiratory hospital admissions", US_national_yearly!$D:$AM, 30, FALSE) / VLOOKUP("transport|PM25|Respiratory hospital admissions", US_national_yearly!$D:$AM, 10, FALSE), 1)</f>
        <v>6.0366924706244617E-4</v>
      </c>
      <c r="W12" s="7">
        <f>$B12 * IFERROR(VLOOKUP("transport|PM25|Respiratory hospital admissions", US_national_yearly!$D:$AM, 31, FALSE) / VLOOKUP("transport|PM25|Respiratory hospital admissions", US_national_yearly!$D:$AM, 10, FALSE), 1)</f>
        <v>6.058828372509311E-4</v>
      </c>
      <c r="X12" s="7">
        <f>$B12 * IFERROR(VLOOKUP("transport|PM25|Respiratory hospital admissions", US_national_yearly!$D:$AM, 32, FALSE) / VLOOKUP("transport|PM25|Respiratory hospital admissions", US_national_yearly!$D:$AM, 10, FALSE), 1)</f>
        <v>6.0801233924918691E-4</v>
      </c>
      <c r="Y12" s="7">
        <f>$B12 * IFERROR(VLOOKUP("transport|PM25|Respiratory hospital admissions", US_national_yearly!$D:$AM, 33, FALSE) / VLOOKUP("transport|PM25|Respiratory hospital admissions", US_national_yearly!$D:$AM, 10, FALSE), 1)</f>
        <v>6.1014184124744239E-4</v>
      </c>
      <c r="Z12" s="7">
        <f>$B12 * IFERROR(VLOOKUP("transport|PM25|Respiratory hospital admissions", US_national_yearly!$D:$AM, 34, FALSE) / VLOOKUP("transport|PM25|Respiratory hospital admissions", US_national_yearly!$D:$AM, 10, FALSE), 1)</f>
        <v>6.1227134324569809E-4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6.1440084524395358E-4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6.1653034724220928E-4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3.2833490009904023E-3</v>
      </c>
      <c r="C13" s="7">
        <f>$B13 * IFERROR(VLOOKUP("transport|PM25|Non-fatal heart attacks", US_national_yearly!$D:$AM, 11, FALSE) / VLOOKUP("transport|PM25|Non-fatal heart attacks", US_national_yearly!$D:$AM, 10, FALSE), 1)</f>
        <v>3.3788046694602386E-3</v>
      </c>
      <c r="D13" s="7">
        <f>$B13 * IFERROR(VLOOKUP("transport|PM25|Non-fatal heart attacks", US_national_yearly!$D:$AM, 12, FALSE) / VLOOKUP("transport|PM25|Non-fatal heart attacks", US_national_yearly!$D:$AM, 10, FALSE), 1)</f>
        <v>3.4742603379300744E-3</v>
      </c>
      <c r="E13" s="7">
        <f>$B13 * IFERROR(VLOOKUP("transport|PM25|Non-fatal heart attacks", US_national_yearly!$D:$AM, 13, FALSE) / VLOOKUP("transport|PM25|Non-fatal heart attacks", US_national_yearly!$D:$AM, 10, FALSE), 1)</f>
        <v>3.5697160063999098E-3</v>
      </c>
      <c r="F13" s="7">
        <f>$B13 * IFERROR(VLOOKUP("transport|PM25|Non-fatal heart attacks", US_national_yearly!$D:$AM, 14, FALSE) / VLOOKUP("transport|PM25|Non-fatal heart attacks", US_national_yearly!$D:$AM, 10, FALSE), 1)</f>
        <v>3.6651716748697469E-3</v>
      </c>
      <c r="G13" s="7">
        <f>$B13 * IFERROR(VLOOKUP("transport|PM25|Non-fatal heart attacks", US_national_yearly!$D:$AM, 15, FALSE) / VLOOKUP("transport|PM25|Non-fatal heart attacks", US_national_yearly!$D:$AM, 10, FALSE), 1)</f>
        <v>3.7551924048271693E-3</v>
      </c>
      <c r="H13" s="7">
        <f>$B13 * IFERROR(VLOOKUP("transport|PM25|Non-fatal heart attacks", US_national_yearly!$D:$AM, 16, FALSE) / VLOOKUP("transport|PM25|Non-fatal heart attacks", US_national_yearly!$D:$AM, 10, FALSE), 1)</f>
        <v>3.8452131347845916E-3</v>
      </c>
      <c r="I13" s="7">
        <f>$B13 * IFERROR(VLOOKUP("transport|PM25|Non-fatal heart attacks", US_national_yearly!$D:$AM, 17, FALSE) / VLOOKUP("transport|PM25|Non-fatal heart attacks", US_national_yearly!$D:$AM, 10, FALSE), 1)</f>
        <v>3.9175598468218584E-3</v>
      </c>
      <c r="J13" s="7">
        <f>$B13 * IFERROR(VLOOKUP("transport|PM25|Non-fatal heart attacks", US_national_yearly!$D:$AM, 18, FALSE) / VLOOKUP("transport|PM25|Non-fatal heart attacks", US_national_yearly!$D:$AM, 10, FALSE), 1)</f>
        <v>3.9899065588591262E-3</v>
      </c>
      <c r="K13" s="7">
        <f>$B13 * IFERROR(VLOOKUP("transport|PM25|Non-fatal heart attacks", US_national_yearly!$D:$AM, 19, FALSE) / VLOOKUP("transport|PM25|Non-fatal heart attacks", US_national_yearly!$D:$AM, 10, FALSE), 1)</f>
        <v>4.0622532708963939E-3</v>
      </c>
      <c r="L13" s="7">
        <f>$B13 * IFERROR(VLOOKUP("transport|PM25|Non-fatal heart attacks", US_national_yearly!$D:$AM, 20, FALSE) / VLOOKUP("transport|PM25|Non-fatal heart attacks", US_national_yearly!$D:$AM, 10, FALSE), 1)</f>
        <v>4.1345999829336608E-3</v>
      </c>
      <c r="M13" s="7">
        <f>$B13 * IFERROR(VLOOKUP("transport|PM25|Non-fatal heart attacks", US_national_yearly!$D:$AM, 21, FALSE) / VLOOKUP("transport|PM25|Non-fatal heart attacks", US_national_yearly!$D:$AM, 10, FALSE), 1)</f>
        <v>4.2069466949709294E-3</v>
      </c>
      <c r="N13" s="7">
        <f>$B13 * IFERROR(VLOOKUP("transport|PM25|Non-fatal heart attacks", US_national_yearly!$D:$AM, 22, FALSE) / VLOOKUP("transport|PM25|Non-fatal heart attacks", US_national_yearly!$D:$AM, 10, FALSE), 1)</f>
        <v>4.2536031803241834E-3</v>
      </c>
      <c r="O13" s="7">
        <f>$B13 * IFERROR(VLOOKUP("transport|PM25|Non-fatal heart attacks", US_national_yearly!$D:$AM, 23, FALSE) / VLOOKUP("transport|PM25|Non-fatal heart attacks", US_national_yearly!$D:$AM, 10, FALSE), 1)</f>
        <v>4.3002596656774384E-3</v>
      </c>
      <c r="P13" s="7">
        <f>$B13 * IFERROR(VLOOKUP("transport|PM25|Non-fatal heart attacks", US_national_yearly!$D:$AM, 24, FALSE) / VLOOKUP("transport|PM25|Non-fatal heart attacks", US_national_yearly!$D:$AM, 10, FALSE), 1)</f>
        <v>4.3469161510306933E-3</v>
      </c>
      <c r="Q13" s="7">
        <f>$B13 * IFERROR(VLOOKUP("transport|PM25|Non-fatal heart attacks", US_national_yearly!$D:$AM, 25, FALSE) / VLOOKUP("transport|PM25|Non-fatal heart attacks", US_national_yearly!$D:$AM, 10, FALSE), 1)</f>
        <v>4.3935726363839474E-3</v>
      </c>
      <c r="R13" s="7">
        <f>$B13 * IFERROR(VLOOKUP("transport|PM25|Non-fatal heart attacks", US_national_yearly!$D:$AM, 26, FALSE) / VLOOKUP("transport|PM25|Non-fatal heart attacks", US_national_yearly!$D:$AM, 10, FALSE), 1)</f>
        <v>4.4402291217372023E-3</v>
      </c>
      <c r="S13" s="7">
        <f>$B13 * IFERROR(VLOOKUP("transport|PM25|Non-fatal heart attacks", US_national_yearly!$D:$AM, 27, FALSE) / VLOOKUP("transport|PM25|Non-fatal heart attacks", US_national_yearly!$D:$AM, 10, FALSE), 1)</f>
        <v>4.4647997598898405E-3</v>
      </c>
      <c r="T13" s="7">
        <f>$B13 * IFERROR(VLOOKUP("transport|PM25|Non-fatal heart attacks", US_national_yearly!$D:$AM, 28, FALSE) / VLOOKUP("transport|PM25|Non-fatal heart attacks", US_national_yearly!$D:$AM, 10, FALSE), 1)</f>
        <v>4.4893703980424787E-3</v>
      </c>
      <c r="U13" s="7">
        <f>$B13 * IFERROR(VLOOKUP("transport|PM25|Non-fatal heart attacks", US_national_yearly!$D:$AM, 29, FALSE) / VLOOKUP("transport|PM25|Non-fatal heart attacks", US_national_yearly!$D:$AM, 10, FALSE), 1)</f>
        <v>4.5139410361951177E-3</v>
      </c>
      <c r="V13" s="7">
        <f>$B13 * IFERROR(VLOOKUP("transport|PM25|Non-fatal heart attacks", US_national_yearly!$D:$AM, 30, FALSE) / VLOOKUP("transport|PM25|Non-fatal heart attacks", US_national_yearly!$D:$AM, 10, FALSE), 1)</f>
        <v>4.5385116743477559E-3</v>
      </c>
      <c r="W13" s="7">
        <f>$B13 * IFERROR(VLOOKUP("transport|PM25|Non-fatal heart attacks", US_national_yearly!$D:$AM, 31, FALSE) / VLOOKUP("transport|PM25|Non-fatal heart attacks", US_national_yearly!$D:$AM, 10, FALSE), 1)</f>
        <v>4.563082312500394E-3</v>
      </c>
      <c r="X13" s="7">
        <f>$B13 * IFERROR(VLOOKUP("transport|PM25|Non-fatal heart attacks", US_national_yearly!$D:$AM, 32, FALSE) / VLOOKUP("transport|PM25|Non-fatal heart attacks", US_national_yearly!$D:$AM, 10, FALSE), 1)</f>
        <v>4.5817349796995052E-3</v>
      </c>
      <c r="Y13" s="7">
        <f>$B13 * IFERROR(VLOOKUP("transport|PM25|Non-fatal heart attacks", US_national_yearly!$D:$AM, 33, FALSE) / VLOOKUP("transport|PM25|Non-fatal heart attacks", US_national_yearly!$D:$AM, 10, FALSE), 1)</f>
        <v>4.6003876468986172E-3</v>
      </c>
      <c r="Z13" s="7">
        <f>$B13 * IFERROR(VLOOKUP("transport|PM25|Non-fatal heart attacks", US_national_yearly!$D:$AM, 34, FALSE) / VLOOKUP("transport|PM25|Non-fatal heart attacks", US_national_yearly!$D:$AM, 10, FALSE), 1)</f>
        <v>4.6190403140977283E-3</v>
      </c>
      <c r="AA13" s="7">
        <f>$B13 * IFERROR(VLOOKUP("transport|PM25|Non-fatal heart attacks", US_national_yearly!$D:$AM, 35, FALSE) / VLOOKUP("transport|PM25|Non-fatal heart attacks", US_national_yearly!$D:$AM, 10, FALSE), 1)</f>
        <v>4.6376929812968403E-3</v>
      </c>
      <c r="AB13" s="7">
        <f>$B13 * IFERROR(VLOOKUP("transport|PM25|Non-fatal heart attacks", US_national_yearly!$D:$AM, 36, FALSE) / VLOOKUP("transport|PM25|Non-fatal heart attacks", US_national_yearly!$D:$AM, 10, FALSE), 1)</f>
        <v>4.6563456484959515E-3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2.7213356640372286</v>
      </c>
      <c r="C14" s="7">
        <f>$B14 * IFERROR(VLOOKUP("transport|PM25|Minor restricted activity days", US_national_yearly!$D:$AM, 11, FALSE) / VLOOKUP("transport|PM25|Minor restricted activity days", US_national_yearly!$D:$AM, 10, FALSE), 1)</f>
        <v>2.7279814884544091</v>
      </c>
      <c r="D14" s="7">
        <f>$B14 * IFERROR(VLOOKUP("transport|PM25|Minor restricted activity days", US_national_yearly!$D:$AM, 12, FALSE) / VLOOKUP("transport|PM25|Minor restricted activity days", US_national_yearly!$D:$AM, 10, FALSE), 1)</f>
        <v>2.7346273128715897</v>
      </c>
      <c r="E14" s="7">
        <f>$B14 * IFERROR(VLOOKUP("transport|PM25|Minor restricted activity days", US_national_yearly!$D:$AM, 13, FALSE) / VLOOKUP("transport|PM25|Minor restricted activity days", US_national_yearly!$D:$AM, 10, FALSE), 1)</f>
        <v>2.7412731372887706</v>
      </c>
      <c r="F14" s="7">
        <f>$B14 * IFERROR(VLOOKUP("transport|PM25|Minor restricted activity days", US_national_yearly!$D:$AM, 14, FALSE) / VLOOKUP("transport|PM25|Minor restricted activity days", US_national_yearly!$D:$AM, 10, FALSE), 1)</f>
        <v>2.7479189617059507</v>
      </c>
      <c r="G14" s="7">
        <f>$B14 * IFERROR(VLOOKUP("transport|PM25|Minor restricted activity days", US_national_yearly!$D:$AM, 15, FALSE) / VLOOKUP("transport|PM25|Minor restricted activity days", US_national_yearly!$D:$AM, 10, FALSE), 1)</f>
        <v>2.7577246767412111</v>
      </c>
      <c r="H14" s="7">
        <f>$B14 * IFERROR(VLOOKUP("transport|PM25|Minor restricted activity days", US_national_yearly!$D:$AM, 16, FALSE) / VLOOKUP("transport|PM25|Minor restricted activity days", US_national_yearly!$D:$AM, 10, FALSE), 1)</f>
        <v>2.767530391776472</v>
      </c>
      <c r="I14" s="7">
        <f>$B14 * IFERROR(VLOOKUP("transport|PM25|Minor restricted activity days", US_national_yearly!$D:$AM, 17, FALSE) / VLOOKUP("transport|PM25|Minor restricted activity days", US_national_yearly!$D:$AM, 10, FALSE), 1)</f>
        <v>2.7842936741638278</v>
      </c>
      <c r="J14" s="7">
        <f>$B14 * IFERROR(VLOOKUP("transport|PM25|Minor restricted activity days", US_national_yearly!$D:$AM, 18, FALSE) / VLOOKUP("transport|PM25|Minor restricted activity days", US_national_yearly!$D:$AM, 10, FALSE), 1)</f>
        <v>2.8010569565511823</v>
      </c>
      <c r="K14" s="7">
        <f>$B14 * IFERROR(VLOOKUP("transport|PM25|Minor restricted activity days", US_national_yearly!$D:$AM, 19, FALSE) / VLOOKUP("transport|PM25|Minor restricted activity days", US_national_yearly!$D:$AM, 10, FALSE), 1)</f>
        <v>2.8178202389385381</v>
      </c>
      <c r="L14" s="7">
        <f>$B14 * IFERROR(VLOOKUP("transport|PM25|Minor restricted activity days", US_national_yearly!$D:$AM, 20, FALSE) / VLOOKUP("transport|PM25|Minor restricted activity days", US_national_yearly!$D:$AM, 10, FALSE), 1)</f>
        <v>2.8345835213258934</v>
      </c>
      <c r="M14" s="7">
        <f>$B14 * IFERROR(VLOOKUP("transport|PM25|Minor restricted activity days", US_national_yearly!$D:$AM, 21, FALSE) / VLOOKUP("transport|PM25|Minor restricted activity days", US_national_yearly!$D:$AM, 10, FALSE), 1)</f>
        <v>2.8513468037132488</v>
      </c>
      <c r="N14" s="7">
        <f>$B14 * IFERROR(VLOOKUP("transport|PM25|Minor restricted activity days", US_national_yearly!$D:$AM, 22, FALSE) / VLOOKUP("transport|PM25|Minor restricted activity days", US_national_yearly!$D:$AM, 10, FALSE), 1)</f>
        <v>2.8741817318884144</v>
      </c>
      <c r="O14" s="7">
        <f>$B14 * IFERROR(VLOOKUP("transport|PM25|Minor restricted activity days", US_national_yearly!$D:$AM, 23, FALSE) / VLOOKUP("transport|PM25|Minor restricted activity days", US_national_yearly!$D:$AM, 10, FALSE), 1)</f>
        <v>2.8970166600635796</v>
      </c>
      <c r="P14" s="7">
        <f>$B14 * IFERROR(VLOOKUP("transport|PM25|Minor restricted activity days", US_national_yearly!$D:$AM, 24, FALSE) / VLOOKUP("transport|PM25|Minor restricted activity days", US_national_yearly!$D:$AM, 10, FALSE), 1)</f>
        <v>2.9198515882387452</v>
      </c>
      <c r="Q14" s="7">
        <f>$B14 * IFERROR(VLOOKUP("transport|PM25|Minor restricted activity days", US_national_yearly!$D:$AM, 25, FALSE) / VLOOKUP("transport|PM25|Minor restricted activity days", US_national_yearly!$D:$AM, 10, FALSE), 1)</f>
        <v>2.9426865164139104</v>
      </c>
      <c r="R14" s="7">
        <f>$B14 * IFERROR(VLOOKUP("transport|PM25|Minor restricted activity days", US_national_yearly!$D:$AM, 26, FALSE) / VLOOKUP("transport|PM25|Minor restricted activity days", US_national_yearly!$D:$AM, 10, FALSE), 1)</f>
        <v>2.9655214445890756</v>
      </c>
      <c r="S14" s="7">
        <f>$B14 * IFERROR(VLOOKUP("transport|PM25|Minor restricted activity days", US_national_yearly!$D:$AM, 27, FALSE) / VLOOKUP("transport|PM25|Minor restricted activity days", US_national_yearly!$D:$AM, 10, FALSE), 1)</f>
        <v>2.9885136294320476</v>
      </c>
      <c r="T14" s="7">
        <f>$B14 * IFERROR(VLOOKUP("transport|PM25|Minor restricted activity days", US_national_yearly!$D:$AM, 28, FALSE) / VLOOKUP("transport|PM25|Minor restricted activity days", US_national_yearly!$D:$AM, 10, FALSE), 1)</f>
        <v>3.01150581427502</v>
      </c>
      <c r="U14" s="7">
        <f>$B14 * IFERROR(VLOOKUP("transport|PM25|Minor restricted activity days", US_national_yearly!$D:$AM, 29, FALSE) / VLOOKUP("transport|PM25|Minor restricted activity days", US_national_yearly!$D:$AM, 10, FALSE), 1)</f>
        <v>3.0344979991179923</v>
      </c>
      <c r="V14" s="7">
        <f>$B14 * IFERROR(VLOOKUP("transport|PM25|Minor restricted activity days", US_national_yearly!$D:$AM, 30, FALSE) / VLOOKUP("transport|PM25|Minor restricted activity days", US_national_yearly!$D:$AM, 10, FALSE), 1)</f>
        <v>3.0574901839609647</v>
      </c>
      <c r="W14" s="7">
        <f>$B14 * IFERROR(VLOOKUP("transport|PM25|Minor restricted activity days", US_national_yearly!$D:$AM, 31, FALSE) / VLOOKUP("transport|PM25|Minor restricted activity days", US_national_yearly!$D:$AM, 10, FALSE), 1)</f>
        <v>3.0804823688039371</v>
      </c>
      <c r="X14" s="7">
        <f>$B14 * IFERROR(VLOOKUP("transport|PM25|Minor restricted activity days", US_national_yearly!$D:$AM, 32, FALSE) / VLOOKUP("transport|PM25|Minor restricted activity days", US_national_yearly!$D:$AM, 10, FALSE), 1)</f>
        <v>3.1004418983054407</v>
      </c>
      <c r="Y14" s="7">
        <f>$B14 * IFERROR(VLOOKUP("transport|PM25|Minor restricted activity days", US_national_yearly!$D:$AM, 33, FALSE) / VLOOKUP("transport|PM25|Minor restricted activity days", US_national_yearly!$D:$AM, 10, FALSE), 1)</f>
        <v>3.1204014278069443</v>
      </c>
      <c r="Z14" s="7">
        <f>$B14 * IFERROR(VLOOKUP("transport|PM25|Minor restricted activity days", US_national_yearly!$D:$AM, 34, FALSE) / VLOOKUP("transport|PM25|Minor restricted activity days", US_national_yearly!$D:$AM, 10, FALSE), 1)</f>
        <v>3.1403609573084483</v>
      </c>
      <c r="AA14" s="7">
        <f>$B14 * IFERROR(VLOOKUP("transport|PM25|Minor restricted activity days", US_national_yearly!$D:$AM, 35, FALSE) / VLOOKUP("transport|PM25|Minor restricted activity days", US_national_yearly!$D:$AM, 10, FALSE), 1)</f>
        <v>3.1603204868099515</v>
      </c>
      <c r="AB14" s="7">
        <f>$B14 * IFERROR(VLOOKUP("transport|PM25|Minor restricted activity days", US_national_yearly!$D:$AM, 36, FALSE) / VLOOKUP("transport|PM25|Minor restricted activity days", US_national_yearly!$D:$AM, 10, FALSE), 1)</f>
        <v>3.1802800163114551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0.46151182754096959</v>
      </c>
      <c r="C15" s="7">
        <f>$B15 * IFERROR(VLOOKUP("transport|PM25|Work loss days", US_national_yearly!$D:$AM, 11, FALSE) / VLOOKUP("transport|PM25|Work loss days", US_national_yearly!$D:$AM, 10, FALSE), 1)</f>
        <v>0.46294234798326461</v>
      </c>
      <c r="D15" s="7">
        <f>$B15 * IFERROR(VLOOKUP("transport|PM25|Work loss days", US_national_yearly!$D:$AM, 12, FALSE) / VLOOKUP("transport|PM25|Work loss days", US_national_yearly!$D:$AM, 10, FALSE), 1)</f>
        <v>0.46437286842555975</v>
      </c>
      <c r="E15" s="7">
        <f>$B15 * IFERROR(VLOOKUP("transport|PM25|Work loss days", US_national_yearly!$D:$AM, 13, FALSE) / VLOOKUP("transport|PM25|Work loss days", US_national_yearly!$D:$AM, 10, FALSE), 1)</f>
        <v>0.46580338886785477</v>
      </c>
      <c r="F15" s="7">
        <f>$B15 * IFERROR(VLOOKUP("transport|PM25|Work loss days", US_national_yearly!$D:$AM, 14, FALSE) / VLOOKUP("transport|PM25|Work loss days", US_national_yearly!$D:$AM, 10, FALSE), 1)</f>
        <v>0.46723390931014985</v>
      </c>
      <c r="G15" s="7">
        <f>$B15 * IFERROR(VLOOKUP("transport|PM25|Work loss days", US_national_yearly!$D:$AM, 15, FALSE) / VLOOKUP("transport|PM25|Work loss days", US_national_yearly!$D:$AM, 10, FALSE), 1)</f>
        <v>0.46910941289288005</v>
      </c>
      <c r="H15" s="7">
        <f>$B15 * IFERROR(VLOOKUP("transport|PM25|Work loss days", US_national_yearly!$D:$AM, 16, FALSE) / VLOOKUP("transport|PM25|Work loss days", US_national_yearly!$D:$AM, 10, FALSE), 1)</f>
        <v>0.47098491647561042</v>
      </c>
      <c r="I15" s="7">
        <f>$B15 * IFERROR(VLOOKUP("transport|PM25|Work loss days", US_national_yearly!$D:$AM, 17, FALSE) / VLOOKUP("transport|PM25|Work loss days", US_national_yearly!$D:$AM, 10, FALSE), 1)</f>
        <v>0.4737468017782695</v>
      </c>
      <c r="J15" s="7">
        <f>$B15 * IFERROR(VLOOKUP("transport|PM25|Work loss days", US_national_yearly!$D:$AM, 18, FALSE) / VLOOKUP("transport|PM25|Work loss days", US_national_yearly!$D:$AM, 10, FALSE), 1)</f>
        <v>0.47650868708092858</v>
      </c>
      <c r="K15" s="7">
        <f>$B15 * IFERROR(VLOOKUP("transport|PM25|Work loss days", US_national_yearly!$D:$AM, 19, FALSE) / VLOOKUP("transport|PM25|Work loss days", US_national_yearly!$D:$AM, 10, FALSE), 1)</f>
        <v>0.47927057238358772</v>
      </c>
      <c r="L15" s="7">
        <f>$B15 * IFERROR(VLOOKUP("transport|PM25|Work loss days", US_national_yearly!$D:$AM, 20, FALSE) / VLOOKUP("transport|PM25|Work loss days", US_national_yearly!$D:$AM, 10, FALSE), 1)</f>
        <v>0.48203245768624681</v>
      </c>
      <c r="M15" s="7">
        <f>$B15 * IFERROR(VLOOKUP("transport|PM25|Work loss days", US_national_yearly!$D:$AM, 21, FALSE) / VLOOKUP("transport|PM25|Work loss days", US_national_yearly!$D:$AM, 10, FALSE), 1)</f>
        <v>0.48479434298890589</v>
      </c>
      <c r="N15" s="7">
        <f>$B15 * IFERROR(VLOOKUP("transport|PM25|Work loss days", US_national_yearly!$D:$AM, 22, FALSE) / VLOOKUP("transport|PM25|Work loss days", US_national_yearly!$D:$AM, 10, FALSE), 1)</f>
        <v>0.48827038468608969</v>
      </c>
      <c r="O15" s="7">
        <f>$B15 * IFERROR(VLOOKUP("transport|PM25|Work loss days", US_national_yearly!$D:$AM, 23, FALSE) / VLOOKUP("transport|PM25|Work loss days", US_national_yearly!$D:$AM, 10, FALSE), 1)</f>
        <v>0.49174642638327332</v>
      </c>
      <c r="P15" s="7">
        <f>$B15 * IFERROR(VLOOKUP("transport|PM25|Work loss days", US_national_yearly!$D:$AM, 24, FALSE) / VLOOKUP("transport|PM25|Work loss days", US_national_yearly!$D:$AM, 10, FALSE), 1)</f>
        <v>0.49522246808045706</v>
      </c>
      <c r="Q15" s="7">
        <f>$B15 * IFERROR(VLOOKUP("transport|PM25|Work loss days", US_national_yearly!$D:$AM, 25, FALSE) / VLOOKUP("transport|PM25|Work loss days", US_national_yearly!$D:$AM, 10, FALSE), 1)</f>
        <v>0.49869850977764074</v>
      </c>
      <c r="R15" s="7">
        <f>$B15 * IFERROR(VLOOKUP("transport|PM25|Work loss days", US_national_yearly!$D:$AM, 26, FALSE) / VLOOKUP("transport|PM25|Work loss days", US_national_yearly!$D:$AM, 10, FALSE), 1)</f>
        <v>0.50217455147482448</v>
      </c>
      <c r="S15" s="7">
        <f>$B15 * IFERROR(VLOOKUP("transport|PM25|Work loss days", US_national_yearly!$D:$AM, 27, FALSE) / VLOOKUP("transport|PM25|Work loss days", US_national_yearly!$D:$AM, 10, FALSE), 1)</f>
        <v>0.50601920199613282</v>
      </c>
      <c r="T15" s="7">
        <f>$B15 * IFERROR(VLOOKUP("transport|PM25|Work loss days", US_national_yearly!$D:$AM, 28, FALSE) / VLOOKUP("transport|PM25|Work loss days", US_national_yearly!$D:$AM, 10, FALSE), 1)</f>
        <v>0.50986385251744126</v>
      </c>
      <c r="U15" s="7">
        <f>$B15 * IFERROR(VLOOKUP("transport|PM25|Work loss days", US_national_yearly!$D:$AM, 29, FALSE) / VLOOKUP("transport|PM25|Work loss days", US_national_yearly!$D:$AM, 10, FALSE), 1)</f>
        <v>0.51370850303874949</v>
      </c>
      <c r="V15" s="7">
        <f>$B15 * IFERROR(VLOOKUP("transport|PM25|Work loss days", US_national_yearly!$D:$AM, 30, FALSE) / VLOOKUP("transport|PM25|Work loss days", US_national_yearly!$D:$AM, 10, FALSE), 1)</f>
        <v>0.51755315356005793</v>
      </c>
      <c r="W15" s="7">
        <f>$B15 * IFERROR(VLOOKUP("transport|PM25|Work loss days", US_national_yearly!$D:$AM, 31, FALSE) / VLOOKUP("transport|PM25|Work loss days", US_national_yearly!$D:$AM, 10, FALSE), 1)</f>
        <v>0.52139780408136627</v>
      </c>
      <c r="X15" s="7">
        <f>$B15 * IFERROR(VLOOKUP("transport|PM25|Work loss days", US_national_yearly!$D:$AM, 32, FALSE) / VLOOKUP("transport|PM25|Work loss days", US_national_yearly!$D:$AM, 10, FALSE), 1)</f>
        <v>0.52480904600993916</v>
      </c>
      <c r="Y15" s="7">
        <f>$B15 * IFERROR(VLOOKUP("transport|PM25|Work loss days", US_national_yearly!$D:$AM, 33, FALSE) / VLOOKUP("transport|PM25|Work loss days", US_national_yearly!$D:$AM, 10, FALSE), 1)</f>
        <v>0.52822028793851206</v>
      </c>
      <c r="Z15" s="7">
        <f>$B15 * IFERROR(VLOOKUP("transport|PM25|Work loss days", US_national_yearly!$D:$AM, 34, FALSE) / VLOOKUP("transport|PM25|Work loss days", US_national_yearly!$D:$AM, 10, FALSE), 1)</f>
        <v>0.53163152986708506</v>
      </c>
      <c r="AA15" s="7">
        <f>$B15 * IFERROR(VLOOKUP("transport|PM25|Work loss days", US_national_yearly!$D:$AM, 35, FALSE) / VLOOKUP("transport|PM25|Work loss days", US_national_yearly!$D:$AM, 10, FALSE), 1)</f>
        <v>0.53504277179565807</v>
      </c>
      <c r="AB15" s="7">
        <f>$B15 * IFERROR(VLOOKUP("transport|PM25|Work loss days", US_national_yearly!$D:$AM, 36, FALSE) / VLOOKUP("transport|PM25|Work loss days", US_national_yearly!$D:$AM, 10, FALSE), 1)</f>
        <v>0.53845401372423107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7.978567620127566E-4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8.2169727842066676E-4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8.4553779482857703E-4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8.6937831123648729E-4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8.9321882764439766E-4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9.1605378380919908E-4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9.3888873997400094E-4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9.5841844817548929E-4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9.7794815637697752E-4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9.9747786457846576E-4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1.0170075727799544E-3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1.0365372809814427E-3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1.0495581833286488E-3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1.062579085675855E-3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1.0755999880230612E-3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1.0886208903702673E-3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1.1016417927174735E-3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1.1085310657045048E-3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1.115420338691536E-3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1.1223096116785667E-3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1.1291988846655978E-3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1.136088157652629E-3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1.1407261068487893E-3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1.1453640560449498E-3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1.1500020052411101E-3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1.1546399544372704E-3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1.1592779036334309E-3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3.6554561587584527E-4</v>
      </c>
      <c r="C2" s="7">
        <f>$B2 * IFERROR(VLOOKUP("transport|NOx|Premature mortality", US_national_yearly!$D:$AM, 11, FALSE) / VLOOKUP("transport|NOx|Premature mortality", US_national_yearly!$D:$AM, 10, FALSE), 1)</f>
        <v>3.7091486310838784E-4</v>
      </c>
      <c r="D2" s="7">
        <f>$B2 * IFERROR(VLOOKUP("transport|NOx|Premature mortality", US_national_yearly!$D:$AM, 12, FALSE) / VLOOKUP("transport|NOx|Premature mortality", US_national_yearly!$D:$AM, 10, FALSE), 1)</f>
        <v>3.7628411034093035E-4</v>
      </c>
      <c r="E2" s="7">
        <f>$B2 * IFERROR(VLOOKUP("transport|NOx|Premature mortality", US_national_yearly!$D:$AM, 13, FALSE) / VLOOKUP("transport|NOx|Premature mortality", US_national_yearly!$D:$AM, 10, FALSE), 1)</f>
        <v>3.8165335757347292E-4</v>
      </c>
      <c r="F2" s="7">
        <f>$B2 * IFERROR(VLOOKUP("transport|NOx|Premature mortality", US_national_yearly!$D:$AM, 14, FALSE) / VLOOKUP("transport|NOx|Premature mortality", US_national_yearly!$D:$AM, 10, FALSE), 1)</f>
        <v>3.8702260480601549E-4</v>
      </c>
      <c r="G2" s="7">
        <f>$B2 * IFERROR(VLOOKUP("transport|NOx|Premature mortality", US_national_yearly!$D:$AM, 15, FALSE) / VLOOKUP("transport|NOx|Premature mortality", US_national_yearly!$D:$AM, 10, FALSE), 1)</f>
        <v>3.966670422556667E-4</v>
      </c>
      <c r="H2" s="7">
        <f>$B2 * IFERROR(VLOOKUP("transport|NOx|Premature mortality", US_national_yearly!$D:$AM, 16, FALSE) / VLOOKUP("transport|NOx|Premature mortality", US_national_yearly!$D:$AM, 10, FALSE), 1)</f>
        <v>4.0631147970531802E-4</v>
      </c>
      <c r="I2" s="7">
        <f>$B2 * IFERROR(VLOOKUP("transport|NOx|Premature mortality", US_national_yearly!$D:$AM, 17, FALSE) / VLOOKUP("transport|NOx|Premature mortality", US_national_yearly!$D:$AM, 10, FALSE), 1)</f>
        <v>4.1253714702088162E-4</v>
      </c>
      <c r="J2" s="7">
        <f>$B2 * IFERROR(VLOOKUP("transport|NOx|Premature mortality", US_national_yearly!$D:$AM, 18, FALSE) / VLOOKUP("transport|NOx|Premature mortality", US_national_yearly!$D:$AM, 10, FALSE), 1)</f>
        <v>4.1876281433644527E-4</v>
      </c>
      <c r="K2" s="7">
        <f>$B2 * IFERROR(VLOOKUP("transport|NOx|Premature mortality", US_national_yearly!$D:$AM, 19, FALSE) / VLOOKUP("transport|NOx|Premature mortality", US_national_yearly!$D:$AM, 10, FALSE), 1)</f>
        <v>4.2498848165200886E-4</v>
      </c>
      <c r="L2" s="7">
        <f>$B2 * IFERROR(VLOOKUP("transport|NOx|Premature mortality", US_national_yearly!$D:$AM, 20, FALSE) / VLOOKUP("transport|NOx|Premature mortality", US_national_yearly!$D:$AM, 10, FALSE), 1)</f>
        <v>4.3121414896757246E-4</v>
      </c>
      <c r="M2" s="7">
        <f>$B2 * IFERROR(VLOOKUP("transport|NOx|Premature mortality", US_national_yearly!$D:$AM, 21, FALSE) / VLOOKUP("transport|NOx|Premature mortality", US_national_yearly!$D:$AM, 10, FALSE), 1)</f>
        <v>4.3743981628313611E-4</v>
      </c>
      <c r="N2" s="7">
        <f>$B2 * IFERROR(VLOOKUP("transport|NOx|Premature mortality", US_national_yearly!$D:$AM, 22, FALSE) / VLOOKUP("transport|NOx|Premature mortality", US_national_yearly!$D:$AM, 10, FALSE), 1)</f>
        <v>4.4205176642795187E-4</v>
      </c>
      <c r="O2" s="7">
        <f>$B2 * IFERROR(VLOOKUP("transport|NOx|Premature mortality", US_national_yearly!$D:$AM, 23, FALSE) / VLOOKUP("transport|NOx|Premature mortality", US_national_yearly!$D:$AM, 10, FALSE), 1)</f>
        <v>4.4666371657276762E-4</v>
      </c>
      <c r="P2" s="7">
        <f>$B2 * IFERROR(VLOOKUP("transport|NOx|Premature mortality", US_national_yearly!$D:$AM, 24, FALSE) / VLOOKUP("transport|NOx|Premature mortality", US_national_yearly!$D:$AM, 10, FALSE), 1)</f>
        <v>4.5127566671758338E-4</v>
      </c>
      <c r="Q2" s="7">
        <f>$B2 * IFERROR(VLOOKUP("transport|NOx|Premature mortality", US_national_yearly!$D:$AM, 25, FALSE) / VLOOKUP("transport|NOx|Premature mortality", US_national_yearly!$D:$AM, 10, FALSE), 1)</f>
        <v>4.5588761686239925E-4</v>
      </c>
      <c r="R2" s="7">
        <f>$B2 * IFERROR(VLOOKUP("transport|NOx|Premature mortality", US_national_yearly!$D:$AM, 26, FALSE) / VLOOKUP("transport|NOx|Premature mortality", US_national_yearly!$D:$AM, 10, FALSE), 1)</f>
        <v>4.6049956700721501E-4</v>
      </c>
      <c r="S2" s="7">
        <f>$B2 * IFERROR(VLOOKUP("transport|NOx|Premature mortality", US_national_yearly!$D:$AM, 27, FALSE) / VLOOKUP("transport|NOx|Premature mortality", US_national_yearly!$D:$AM, 10, FALSE), 1)</f>
        <v>4.6259574478975455E-4</v>
      </c>
      <c r="T2" s="7">
        <f>$B2 * IFERROR(VLOOKUP("transport|NOx|Premature mortality", US_national_yearly!$D:$AM, 28, FALSE) / VLOOKUP("transport|NOx|Premature mortality", US_national_yearly!$D:$AM, 10, FALSE), 1)</f>
        <v>4.6469192257229421E-4</v>
      </c>
      <c r="U2" s="7">
        <f>$B2 * IFERROR(VLOOKUP("transport|NOx|Premature mortality", US_national_yearly!$D:$AM, 29, FALSE) / VLOOKUP("transport|NOx|Premature mortality", US_national_yearly!$D:$AM, 10, FALSE), 1)</f>
        <v>4.6678810035483375E-4</v>
      </c>
      <c r="V2" s="7">
        <f>$B2 * IFERROR(VLOOKUP("transport|NOx|Premature mortality", US_national_yearly!$D:$AM, 30, FALSE) / VLOOKUP("transport|NOx|Premature mortality", US_national_yearly!$D:$AM, 10, FALSE), 1)</f>
        <v>4.688842781373733E-4</v>
      </c>
      <c r="W2" s="7">
        <f>$B2 * IFERROR(VLOOKUP("transport|NOx|Premature mortality", US_national_yearly!$D:$AM, 31, FALSE) / VLOOKUP("transport|NOx|Premature mortality", US_national_yearly!$D:$AM, 10, FALSE), 1)</f>
        <v>4.7098045591991295E-4</v>
      </c>
      <c r="X2" s="7">
        <f>$B2 * IFERROR(VLOOKUP("transport|NOx|Premature mortality", US_national_yearly!$D:$AM, 32, FALSE) / VLOOKUP("transport|NOx|Premature mortality", US_national_yearly!$D:$AM, 10, FALSE), 1)</f>
        <v>4.7105306631508442E-4</v>
      </c>
      <c r="Y2" s="7">
        <f>$B2 * IFERROR(VLOOKUP("transport|NOx|Premature mortality", US_national_yearly!$D:$AM, 33, FALSE) / VLOOKUP("transport|NOx|Premature mortality", US_national_yearly!$D:$AM, 10, FALSE), 1)</f>
        <v>4.7112567671025595E-4</v>
      </c>
      <c r="Z2" s="7">
        <f>$B2 * IFERROR(VLOOKUP("transport|NOx|Premature mortality", US_national_yearly!$D:$AM, 34, FALSE) / VLOOKUP("transport|NOx|Premature mortality", US_national_yearly!$D:$AM, 10, FALSE), 1)</f>
        <v>4.7119828710542736E-4</v>
      </c>
      <c r="AA2" s="7">
        <f>$B2 * IFERROR(VLOOKUP("transport|NOx|Premature mortality", US_national_yearly!$D:$AM, 35, FALSE) / VLOOKUP("transport|NOx|Premature mortality", US_national_yearly!$D:$AM, 10, FALSE), 1)</f>
        <v>4.7127089750059894E-4</v>
      </c>
      <c r="AB2" s="7">
        <f>$B2 * IFERROR(VLOOKUP("transport|NOx|Premature mortality", US_national_yearly!$D:$AM, 36, FALSE) / VLOOKUP("transport|NOx|Premature mortality", US_national_yearly!$D:$AM, 10, FALSE), 1)</f>
        <v>4.7134350789577046E-4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1.0252828468770079E-6</v>
      </c>
      <c r="C3" s="7">
        <f>$B3 * IFERROR(VLOOKUP("transport|NOx|Infant mortality", US_national_yearly!$D:$AM, 11, FALSE) / VLOOKUP("transport|NOx|Infant mortality", US_national_yearly!$D:$AM, 10, FALSE), 1)</f>
        <v>1.0155144151731991E-6</v>
      </c>
      <c r="D3" s="7">
        <f>$B3 * IFERROR(VLOOKUP("transport|NOx|Infant mortality", US_national_yearly!$D:$AM, 12, FALSE) / VLOOKUP("transport|NOx|Infant mortality", US_national_yearly!$D:$AM, 10, FALSE), 1)</f>
        <v>1.0057459834693901E-6</v>
      </c>
      <c r="E3" s="7">
        <f>$B3 * IFERROR(VLOOKUP("transport|NOx|Infant mortality", US_national_yearly!$D:$AM, 13, FALSE) / VLOOKUP("transport|NOx|Infant mortality", US_national_yearly!$D:$AM, 10, FALSE), 1)</f>
        <v>9.9597755176558105E-7</v>
      </c>
      <c r="F3" s="7">
        <f>$B3 * IFERROR(VLOOKUP("transport|NOx|Infant mortality", US_national_yearly!$D:$AM, 14, FALSE) / VLOOKUP("transport|NOx|Infant mortality", US_national_yearly!$D:$AM, 10, FALSE), 1)</f>
        <v>9.8620912006177223E-7</v>
      </c>
      <c r="G3" s="7">
        <f>$B3 * IFERROR(VLOOKUP("transport|NOx|Infant mortality", US_national_yearly!$D:$AM, 15, FALSE) / VLOOKUP("transport|NOx|Infant mortality", US_national_yearly!$D:$AM, 10, FALSE), 1)</f>
        <v>6.546943138724456E-7</v>
      </c>
      <c r="H3" s="7">
        <f>$B3 * IFERROR(VLOOKUP("transport|NOx|Infant mortality", US_national_yearly!$D:$AM, 16, FALSE) / VLOOKUP("transport|NOx|Infant mortality", US_national_yearly!$D:$AM, 10, FALSE), 1)</f>
        <v>3.2317950768311897E-7</v>
      </c>
      <c r="I3" s="7">
        <f>$B3 * IFERROR(VLOOKUP("transport|NOx|Infant mortality", US_national_yearly!$D:$AM, 17, FALSE) / VLOOKUP("transport|NOx|Infant mortality", US_national_yearly!$D:$AM, 10, FALSE), 1)</f>
        <v>3.2089431999074798E-7</v>
      </c>
      <c r="J3" s="7">
        <f>$B3 * IFERROR(VLOOKUP("transport|NOx|Infant mortality", US_national_yearly!$D:$AM, 18, FALSE) / VLOOKUP("transport|NOx|Infant mortality", US_national_yearly!$D:$AM, 10, FALSE), 1)</f>
        <v>3.1860913229837688E-7</v>
      </c>
      <c r="K3" s="7">
        <f>$B3 * IFERROR(VLOOKUP("transport|NOx|Infant mortality", US_national_yearly!$D:$AM, 19, FALSE) / VLOOKUP("transport|NOx|Infant mortality", US_national_yearly!$D:$AM, 10, FALSE), 1)</f>
        <v>3.1632394460600589E-7</v>
      </c>
      <c r="L3" s="7">
        <f>$B3 * IFERROR(VLOOKUP("transport|NOx|Infant mortality", US_national_yearly!$D:$AM, 20, FALSE) / VLOOKUP("transport|NOx|Infant mortality", US_national_yearly!$D:$AM, 10, FALSE), 1)</f>
        <v>3.140387569136349E-7</v>
      </c>
      <c r="M3" s="7">
        <f>$B3 * IFERROR(VLOOKUP("transport|NOx|Infant mortality", US_national_yearly!$D:$AM, 21, FALSE) / VLOOKUP("transport|NOx|Infant mortality", US_national_yearly!$D:$AM, 10, FALSE), 1)</f>
        <v>3.117535692212638E-7</v>
      </c>
      <c r="N3" s="7">
        <f>$B3 * IFERROR(VLOOKUP("transport|NOx|Infant mortality", US_national_yearly!$D:$AM, 22, FALSE) / VLOOKUP("transport|NOx|Infant mortality", US_national_yearly!$D:$AM, 10, FALSE), 1)</f>
        <v>3.1023675718044321E-7</v>
      </c>
      <c r="O3" s="7">
        <f>$B3 * IFERROR(VLOOKUP("transport|NOx|Infant mortality", US_national_yearly!$D:$AM, 23, FALSE) / VLOOKUP("transport|NOx|Infant mortality", US_national_yearly!$D:$AM, 10, FALSE), 1)</f>
        <v>3.0871994513962257E-7</v>
      </c>
      <c r="P3" s="7">
        <f>$B3 * IFERROR(VLOOKUP("transport|NOx|Infant mortality", US_national_yearly!$D:$AM, 24, FALSE) / VLOOKUP("transport|NOx|Infant mortality", US_national_yearly!$D:$AM, 10, FALSE), 1)</f>
        <v>3.0720313309880193E-7</v>
      </c>
      <c r="Q3" s="7">
        <f>$B3 * IFERROR(VLOOKUP("transport|NOx|Infant mortality", US_national_yearly!$D:$AM, 25, FALSE) / VLOOKUP("transport|NOx|Infant mortality", US_national_yearly!$D:$AM, 10, FALSE), 1)</f>
        <v>3.0568632105798129E-7</v>
      </c>
      <c r="R3" s="7">
        <f>$B3 * IFERROR(VLOOKUP("transport|NOx|Infant mortality", US_national_yearly!$D:$AM, 26, FALSE) / VLOOKUP("transport|NOx|Infant mortality", US_national_yearly!$D:$AM, 10, FALSE), 1)</f>
        <v>3.0416950901716064E-7</v>
      </c>
      <c r="S3" s="7">
        <f>$B3 * IFERROR(VLOOKUP("transport|NOx|Infant mortality", US_national_yearly!$D:$AM, 27, FALSE) / VLOOKUP("transport|NOx|Infant mortality", US_national_yearly!$D:$AM, 10, FALSE), 1)</f>
        <v>3.0234605973484058E-7</v>
      </c>
      <c r="T3" s="7">
        <f>$B3 * IFERROR(VLOOKUP("transport|NOx|Infant mortality", US_national_yearly!$D:$AM, 28, FALSE) / VLOOKUP("transport|NOx|Infant mortality", US_national_yearly!$D:$AM, 10, FALSE), 1)</f>
        <v>3.0052261045252051E-7</v>
      </c>
      <c r="U3" s="7">
        <f>$B3 * IFERROR(VLOOKUP("transport|NOx|Infant mortality", US_national_yearly!$D:$AM, 29, FALSE) / VLOOKUP("transport|NOx|Infant mortality", US_national_yearly!$D:$AM, 10, FALSE), 1)</f>
        <v>2.9869916117020044E-7</v>
      </c>
      <c r="V3" s="7">
        <f>$B3 * IFERROR(VLOOKUP("transport|NOx|Infant mortality", US_national_yearly!$D:$AM, 30, FALSE) / VLOOKUP("transport|NOx|Infant mortality", US_national_yearly!$D:$AM, 10, FALSE), 1)</f>
        <v>2.9687571188788037E-7</v>
      </c>
      <c r="W3" s="7">
        <f>$B3 * IFERROR(VLOOKUP("transport|NOx|Infant mortality", US_national_yearly!$D:$AM, 31, FALSE) / VLOOKUP("transport|NOx|Infant mortality", US_national_yearly!$D:$AM, 10, FALSE), 1)</f>
        <v>2.950522626055603E-7</v>
      </c>
      <c r="X3" s="7">
        <f>$B3 * IFERROR(VLOOKUP("transport|NOx|Infant mortality", US_national_yearly!$D:$AM, 32, FALSE) / VLOOKUP("transport|NOx|Infant mortality", US_national_yearly!$D:$AM, 10, FALSE), 1)</f>
        <v>2.9312114163717501E-7</v>
      </c>
      <c r="Y3" s="7">
        <f>$B3 * IFERROR(VLOOKUP("transport|NOx|Infant mortality", US_national_yearly!$D:$AM, 33, FALSE) / VLOOKUP("transport|NOx|Infant mortality", US_national_yearly!$D:$AM, 10, FALSE), 1)</f>
        <v>2.9119002066878971E-7</v>
      </c>
      <c r="Z3" s="7">
        <f>$B3 * IFERROR(VLOOKUP("transport|NOx|Infant mortality", US_national_yearly!$D:$AM, 34, FALSE) / VLOOKUP("transport|NOx|Infant mortality", US_national_yearly!$D:$AM, 10, FALSE), 1)</f>
        <v>2.8925889970040436E-7</v>
      </c>
      <c r="AA3" s="7">
        <f>$B3 * IFERROR(VLOOKUP("transport|NOx|Infant mortality", US_national_yearly!$D:$AM, 35, FALSE) / VLOOKUP("transport|NOx|Infant mortality", US_national_yearly!$D:$AM, 10, FALSE), 1)</f>
        <v>2.8732777873201901E-7</v>
      </c>
      <c r="AB3" s="7">
        <f>$B3 * IFERROR(VLOOKUP("transport|NOx|Infant mortality", US_national_yearly!$D:$AM, 36, FALSE) / VLOOKUP("transport|NOx|Infant mortality", US_national_yearly!$D:$AM, 10, FALSE), 1)</f>
        <v>2.8539665776363371E-7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1.106973085762153E-3</v>
      </c>
      <c r="C6" s="7">
        <f>$B6 * IFERROR(VLOOKUP("transport|NOx|Asthma symptoms cough", US_national_yearly!$D:$AM, 11, FALSE) / VLOOKUP("transport|NOx|Asthma symptoms cough", US_national_yearly!$D:$AM, 10, FALSE), 1)</f>
        <v>1.1221072176738755E-3</v>
      </c>
      <c r="D6" s="7">
        <f>$B6 * IFERROR(VLOOKUP("transport|NOx|Asthma symptoms cough", US_national_yearly!$D:$AM, 12, FALSE) / VLOOKUP("transport|NOx|Asthma symptoms cough", US_national_yearly!$D:$AM, 10, FALSE), 1)</f>
        <v>1.1372413495855979E-3</v>
      </c>
      <c r="E6" s="7">
        <f>$B6 * IFERROR(VLOOKUP("transport|NOx|Asthma symptoms cough", US_national_yearly!$D:$AM, 13, FALSE) / VLOOKUP("transport|NOx|Asthma symptoms cough", US_national_yearly!$D:$AM, 10, FALSE), 1)</f>
        <v>1.1523754814973203E-3</v>
      </c>
      <c r="F6" s="7">
        <f>$B6 * IFERROR(VLOOKUP("transport|NOx|Asthma symptoms cough", US_national_yearly!$D:$AM, 14, FALSE) / VLOOKUP("transport|NOx|Asthma symptoms cough", US_national_yearly!$D:$AM, 10, FALSE), 1)</f>
        <v>1.1675096134090427E-3</v>
      </c>
      <c r="G6" s="7">
        <f>$B6 * IFERROR(VLOOKUP("transport|NOx|Asthma symptoms cough", US_national_yearly!$D:$AM, 15, FALSE) / VLOOKUP("transport|NOx|Asthma symptoms cough", US_national_yearly!$D:$AM, 10, FALSE), 1)</f>
        <v>1.1795921028884969E-3</v>
      </c>
      <c r="H6" s="7">
        <f>$B6 * IFERROR(VLOOKUP("transport|NOx|Asthma symptoms cough", US_national_yearly!$D:$AM, 16, FALSE) / VLOOKUP("transport|NOx|Asthma symptoms cough", US_national_yearly!$D:$AM, 10, FALSE), 1)</f>
        <v>1.1916745923679513E-3</v>
      </c>
      <c r="I6" s="7">
        <f>$B6 * IFERROR(VLOOKUP("transport|NOx|Asthma symptoms cough", US_national_yearly!$D:$AM, 17, FALSE) / VLOOKUP("transport|NOx|Asthma symptoms cough", US_national_yearly!$D:$AM, 10, FALSE), 1)</f>
        <v>1.1958332125185146E-3</v>
      </c>
      <c r="J6" s="7">
        <f>$B6 * IFERROR(VLOOKUP("transport|NOx|Asthma symptoms cough", US_national_yearly!$D:$AM, 18, FALSE) / VLOOKUP("transport|NOx|Asthma symptoms cough", US_national_yearly!$D:$AM, 10, FALSE), 1)</f>
        <v>1.1999918326690781E-3</v>
      </c>
      <c r="K6" s="7">
        <f>$B6 * IFERROR(VLOOKUP("transport|NOx|Asthma symptoms cough", US_national_yearly!$D:$AM, 19, FALSE) / VLOOKUP("transport|NOx|Asthma symptoms cough", US_national_yearly!$D:$AM, 10, FALSE), 1)</f>
        <v>1.2041504528196416E-3</v>
      </c>
      <c r="L6" s="7">
        <f>$B6 * IFERROR(VLOOKUP("transport|NOx|Asthma symptoms cough", US_national_yearly!$D:$AM, 20, FALSE) / VLOOKUP("transport|NOx|Asthma symptoms cough", US_national_yearly!$D:$AM, 10, FALSE), 1)</f>
        <v>1.2083090729702048E-3</v>
      </c>
      <c r="M6" s="7">
        <f>$B6 * IFERROR(VLOOKUP("transport|NOx|Asthma symptoms cough", US_national_yearly!$D:$AM, 21, FALSE) / VLOOKUP("transport|NOx|Asthma symptoms cough", US_national_yearly!$D:$AM, 10, FALSE), 1)</f>
        <v>1.2124676931207683E-3</v>
      </c>
      <c r="N6" s="7">
        <f>$B6 * IFERROR(VLOOKUP("transport|NOx|Asthma symptoms cough", US_national_yearly!$D:$AM, 22, FALSE) / VLOOKUP("transport|NOx|Asthma symptoms cough", US_national_yearly!$D:$AM, 10, FALSE), 1)</f>
        <v>1.2172899228664346E-3</v>
      </c>
      <c r="O6" s="7">
        <f>$B6 * IFERROR(VLOOKUP("transport|NOx|Asthma symptoms cough", US_national_yearly!$D:$AM, 23, FALSE) / VLOOKUP("transport|NOx|Asthma symptoms cough", US_national_yearly!$D:$AM, 10, FALSE), 1)</f>
        <v>1.2221121526121007E-3</v>
      </c>
      <c r="P6" s="7">
        <f>$B6 * IFERROR(VLOOKUP("transport|NOx|Asthma symptoms cough", US_national_yearly!$D:$AM, 24, FALSE) / VLOOKUP("transport|NOx|Asthma symptoms cough", US_national_yearly!$D:$AM, 10, FALSE), 1)</f>
        <v>1.226934382357767E-3</v>
      </c>
      <c r="Q6" s="7">
        <f>$B6 * IFERROR(VLOOKUP("transport|NOx|Asthma symptoms cough", US_national_yearly!$D:$AM, 25, FALSE) / VLOOKUP("transport|NOx|Asthma symptoms cough", US_national_yearly!$D:$AM, 10, FALSE), 1)</f>
        <v>1.2317566121034336E-3</v>
      </c>
      <c r="R6" s="7">
        <f>$B6 * IFERROR(VLOOKUP("transport|NOx|Asthma symptoms cough", US_national_yearly!$D:$AM, 26, FALSE) / VLOOKUP("transport|NOx|Asthma symptoms cough", US_national_yearly!$D:$AM, 10, FALSE), 1)</f>
        <v>1.2365788418490997E-3</v>
      </c>
      <c r="S6" s="7">
        <f>$B6 * IFERROR(VLOOKUP("transport|NOx|Asthma symptoms cough", US_national_yearly!$D:$AM, 27, FALSE) / VLOOKUP("transport|NOx|Asthma symptoms cough", US_national_yearly!$D:$AM, 10, FALSE), 1)</f>
        <v>1.2428782097657332E-3</v>
      </c>
      <c r="T6" s="7">
        <f>$B6 * IFERROR(VLOOKUP("transport|NOx|Asthma symptoms cough", US_national_yearly!$D:$AM, 28, FALSE) / VLOOKUP("transport|NOx|Asthma symptoms cough", US_national_yearly!$D:$AM, 10, FALSE), 1)</f>
        <v>1.2491775776823663E-3</v>
      </c>
      <c r="U6" s="7">
        <f>$B6 * IFERROR(VLOOKUP("transport|NOx|Asthma symptoms cough", US_national_yearly!$D:$AM, 29, FALSE) / VLOOKUP("transport|NOx|Asthma symptoms cough", US_national_yearly!$D:$AM, 10, FALSE), 1)</f>
        <v>1.2554769455989992E-3</v>
      </c>
      <c r="V6" s="7">
        <f>$B6 * IFERROR(VLOOKUP("transport|NOx|Asthma symptoms cough", US_national_yearly!$D:$AM, 30, FALSE) / VLOOKUP("transport|NOx|Asthma symptoms cough", US_national_yearly!$D:$AM, 10, FALSE), 1)</f>
        <v>1.2617763135156328E-3</v>
      </c>
      <c r="W6" s="7">
        <f>$B6 * IFERROR(VLOOKUP("transport|NOx|Asthma symptoms cough", US_national_yearly!$D:$AM, 31, FALSE) / VLOOKUP("transport|NOx|Asthma symptoms cough", US_national_yearly!$D:$AM, 10, FALSE), 1)</f>
        <v>1.2680756814322659E-3</v>
      </c>
      <c r="X6" s="7">
        <f>$B6 * IFERROR(VLOOKUP("transport|NOx|Asthma symptoms cough", US_national_yearly!$D:$AM, 32, FALSE) / VLOOKUP("transport|NOx|Asthma symptoms cough", US_national_yearly!$D:$AM, 10, FALSE), 1)</f>
        <v>1.2739286993549473E-3</v>
      </c>
      <c r="Y6" s="7">
        <f>$B6 * IFERROR(VLOOKUP("transport|NOx|Asthma symptoms cough", US_national_yearly!$D:$AM, 33, FALSE) / VLOOKUP("transport|NOx|Asthma symptoms cough", US_national_yearly!$D:$AM, 10, FALSE), 1)</f>
        <v>1.279781717277629E-3</v>
      </c>
      <c r="Z6" s="7">
        <f>$B6 * IFERROR(VLOOKUP("transport|NOx|Asthma symptoms cough", US_national_yearly!$D:$AM, 34, FALSE) / VLOOKUP("transport|NOx|Asthma symptoms cough", US_national_yearly!$D:$AM, 10, FALSE), 1)</f>
        <v>1.2856347352003105E-3</v>
      </c>
      <c r="AA6" s="7">
        <f>$B6 * IFERROR(VLOOKUP("transport|NOx|Asthma symptoms cough", US_national_yearly!$D:$AM, 35, FALSE) / VLOOKUP("transport|NOx|Asthma symptoms cough", US_national_yearly!$D:$AM, 10, FALSE), 1)</f>
        <v>1.2914877531229919E-3</v>
      </c>
      <c r="AB6" s="7">
        <f>$B6 * IFERROR(VLOOKUP("transport|NOx|Asthma symptoms cough", US_national_yearly!$D:$AM, 36, FALSE) / VLOOKUP("transport|NOx|Asthma symptoms cough", US_national_yearly!$D:$AM, 10, FALSE), 1)</f>
        <v>1.2973407710456736E-3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1.4906676673995883E-3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1.5110475315421601E-3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1.5314273956847314E-3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1.551807259827303E-3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1.5721871239698748E-3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1.5884575975799716E-3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1.6047280711900681E-3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1.6103281355801372E-3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1.6159281999702062E-3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1.6215282643602753E-3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1.6271283287503443E-3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1.6327283931404132E-3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1.6392220848441851E-3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1.6457157765479569E-3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1.6522094682517284E-3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1.6587031599555001E-3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1.665196851659272E-3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1.6736796812736523E-3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1.6821625108880329E-3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1.6906453405024133E-3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1.6991281701167931E-3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1.7076109997311735E-3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1.7154927672977586E-3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1.7233745348643435E-3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1.7312563024309291E-3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1.739138069997514E-3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1.7470198375640991E-3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2.277602455326305E-3</v>
      </c>
      <c r="C8" s="7">
        <f>$B8 * IFERROR(VLOOKUP("transport|NOx|Asthma symptoms wheeze", US_national_yearly!$D:$AM, 11, FALSE) / VLOOKUP("transport|NOx|Asthma symptoms wheeze", US_national_yearly!$D:$AM, 10, FALSE), 1)</f>
        <v>2.3087410046661659E-3</v>
      </c>
      <c r="D8" s="7">
        <f>$B8 * IFERROR(VLOOKUP("transport|NOx|Asthma symptoms wheeze", US_national_yearly!$D:$AM, 12, FALSE) / VLOOKUP("transport|NOx|Asthma symptoms wheeze", US_national_yearly!$D:$AM, 10, FALSE), 1)</f>
        <v>2.3398795540060277E-3</v>
      </c>
      <c r="E8" s="7">
        <f>$B8 * IFERROR(VLOOKUP("transport|NOx|Asthma symptoms wheeze", US_national_yearly!$D:$AM, 13, FALSE) / VLOOKUP("transport|NOx|Asthma symptoms wheeze", US_national_yearly!$D:$AM, 10, FALSE), 1)</f>
        <v>2.3710181033458886E-3</v>
      </c>
      <c r="F8" s="7">
        <f>$B8 * IFERROR(VLOOKUP("transport|NOx|Asthma symptoms wheeze", US_national_yearly!$D:$AM, 14, FALSE) / VLOOKUP("transport|NOx|Asthma symptoms wheeze", US_national_yearly!$D:$AM, 10, FALSE), 1)</f>
        <v>2.4021566526857495E-3</v>
      </c>
      <c r="G8" s="7">
        <f>$B8 * IFERROR(VLOOKUP("transport|NOx|Asthma symptoms wheeze", US_national_yearly!$D:$AM, 15, FALSE) / VLOOKUP("transport|NOx|Asthma symptoms wheeze", US_national_yearly!$D:$AM, 10, FALSE), 1)</f>
        <v>2.4270164330338516E-3</v>
      </c>
      <c r="H8" s="7">
        <f>$B8 * IFERROR(VLOOKUP("transport|NOx|Asthma symptoms wheeze", US_national_yearly!$D:$AM, 16, FALSE) / VLOOKUP("transport|NOx|Asthma symptoms wheeze", US_national_yearly!$D:$AM, 10, FALSE), 1)</f>
        <v>2.451876213381954E-3</v>
      </c>
      <c r="I8" s="7">
        <f>$B8 * IFERROR(VLOOKUP("transport|NOx|Asthma symptoms wheeze", US_national_yearly!$D:$AM, 17, FALSE) / VLOOKUP("transport|NOx|Asthma symptoms wheeze", US_national_yearly!$D:$AM, 10, FALSE), 1)</f>
        <v>2.4604325944201345E-3</v>
      </c>
      <c r="J8" s="7">
        <f>$B8 * IFERROR(VLOOKUP("transport|NOx|Asthma symptoms wheeze", US_national_yearly!$D:$AM, 18, FALSE) / VLOOKUP("transport|NOx|Asthma symptoms wheeze", US_national_yearly!$D:$AM, 10, FALSE), 1)</f>
        <v>2.4689889754583153E-3</v>
      </c>
      <c r="K8" s="7">
        <f>$B8 * IFERROR(VLOOKUP("transport|NOx|Asthma symptoms wheeze", US_national_yearly!$D:$AM, 19, FALSE) / VLOOKUP("transport|NOx|Asthma symptoms wheeze", US_national_yearly!$D:$AM, 10, FALSE), 1)</f>
        <v>2.4775453564964949E-3</v>
      </c>
      <c r="L8" s="7">
        <f>$B8 * IFERROR(VLOOKUP("transport|NOx|Asthma symptoms wheeze", US_national_yearly!$D:$AM, 20, FALSE) / VLOOKUP("transport|NOx|Asthma symptoms wheeze", US_national_yearly!$D:$AM, 10, FALSE), 1)</f>
        <v>2.4861017375346762E-3</v>
      </c>
      <c r="M8" s="7">
        <f>$B8 * IFERROR(VLOOKUP("transport|NOx|Asthma symptoms wheeze", US_national_yearly!$D:$AM, 21, FALSE) / VLOOKUP("transport|NOx|Asthma symptoms wheeze", US_national_yearly!$D:$AM, 10, FALSE), 1)</f>
        <v>2.4946581185728567E-3</v>
      </c>
      <c r="N8" s="7">
        <f>$B8 * IFERROR(VLOOKUP("transport|NOx|Asthma symptoms wheeze", US_national_yearly!$D:$AM, 22, FALSE) / VLOOKUP("transport|NOx|Asthma symptoms wheeze", US_national_yearly!$D:$AM, 10, FALSE), 1)</f>
        <v>2.5045798795609192E-3</v>
      </c>
      <c r="O8" s="7">
        <f>$B8 * IFERROR(VLOOKUP("transport|NOx|Asthma symptoms wheeze", US_national_yearly!$D:$AM, 23, FALSE) / VLOOKUP("transport|NOx|Asthma symptoms wheeze", US_national_yearly!$D:$AM, 10, FALSE), 1)</f>
        <v>2.5145016405489825E-3</v>
      </c>
      <c r="P8" s="7">
        <f>$B8 * IFERROR(VLOOKUP("transport|NOx|Asthma symptoms wheeze", US_national_yearly!$D:$AM, 24, FALSE) / VLOOKUP("transport|NOx|Asthma symptoms wheeze", US_national_yearly!$D:$AM, 10, FALSE), 1)</f>
        <v>2.524423401537045E-3</v>
      </c>
      <c r="Q8" s="7">
        <f>$B8 * IFERROR(VLOOKUP("transport|NOx|Asthma symptoms wheeze", US_national_yearly!$D:$AM, 25, FALSE) / VLOOKUP("transport|NOx|Asthma symptoms wheeze", US_national_yearly!$D:$AM, 10, FALSE), 1)</f>
        <v>2.5343451625251083E-3</v>
      </c>
      <c r="R8" s="7">
        <f>$B8 * IFERROR(VLOOKUP("transport|NOx|Asthma symptoms wheeze", US_national_yearly!$D:$AM, 26, FALSE) / VLOOKUP("transport|NOx|Asthma symptoms wheeze", US_national_yearly!$D:$AM, 10, FALSE), 1)</f>
        <v>2.5442669235131708E-3</v>
      </c>
      <c r="S8" s="7">
        <f>$B8 * IFERROR(VLOOKUP("transport|NOx|Asthma symptoms wheeze", US_national_yearly!$D:$AM, 27, FALSE) / VLOOKUP("transport|NOx|Asthma symptoms wheeze", US_national_yearly!$D:$AM, 10, FALSE), 1)</f>
        <v>2.5572279034133619E-3</v>
      </c>
      <c r="T8" s="7">
        <f>$B8 * IFERROR(VLOOKUP("transport|NOx|Asthma symptoms wheeze", US_national_yearly!$D:$AM, 28, FALSE) / VLOOKUP("transport|NOx|Asthma symptoms wheeze", US_national_yearly!$D:$AM, 10, FALSE), 1)</f>
        <v>2.5701888833135527E-3</v>
      </c>
      <c r="U8" s="7">
        <f>$B8 * IFERROR(VLOOKUP("transport|NOx|Asthma symptoms wheeze", US_national_yearly!$D:$AM, 29, FALSE) / VLOOKUP("transport|NOx|Asthma symptoms wheeze", US_national_yearly!$D:$AM, 10, FALSE), 1)</f>
        <v>2.5831498632137438E-3</v>
      </c>
      <c r="V8" s="7">
        <f>$B8 * IFERROR(VLOOKUP("transport|NOx|Asthma symptoms wheeze", US_national_yearly!$D:$AM, 30, FALSE) / VLOOKUP("transport|NOx|Asthma symptoms wheeze", US_national_yearly!$D:$AM, 10, FALSE), 1)</f>
        <v>2.5961108431139354E-3</v>
      </c>
      <c r="W8" s="7">
        <f>$B8 * IFERROR(VLOOKUP("transport|NOx|Asthma symptoms wheeze", US_national_yearly!$D:$AM, 31, FALSE) / VLOOKUP("transport|NOx|Asthma symptoms wheeze", US_national_yearly!$D:$AM, 10, FALSE), 1)</f>
        <v>2.6090718230141257E-3</v>
      </c>
      <c r="X8" s="7">
        <f>$B8 * IFERROR(VLOOKUP("transport|NOx|Asthma symptoms wheeze", US_national_yearly!$D:$AM, 32, FALSE) / VLOOKUP("transport|NOx|Asthma symptoms wheeze", US_national_yearly!$D:$AM, 10, FALSE), 1)</f>
        <v>2.6211144356428073E-3</v>
      </c>
      <c r="Y8" s="7">
        <f>$B8 * IFERROR(VLOOKUP("transport|NOx|Asthma symptoms wheeze", US_national_yearly!$D:$AM, 33, FALSE) / VLOOKUP("transport|NOx|Asthma symptoms wheeze", US_national_yearly!$D:$AM, 10, FALSE), 1)</f>
        <v>2.6331570482714881E-3</v>
      </c>
      <c r="Z8" s="7">
        <f>$B8 * IFERROR(VLOOKUP("transport|NOx|Asthma symptoms wheeze", US_national_yearly!$D:$AM, 34, FALSE) / VLOOKUP("transport|NOx|Asthma symptoms wheeze", US_national_yearly!$D:$AM, 10, FALSE), 1)</f>
        <v>2.6451996609001696E-3</v>
      </c>
      <c r="AA8" s="7">
        <f>$B8 * IFERROR(VLOOKUP("transport|NOx|Asthma symptoms wheeze", US_national_yearly!$D:$AM, 35, FALSE) / VLOOKUP("transport|NOx|Asthma symptoms wheeze", US_national_yearly!$D:$AM, 10, FALSE), 1)</f>
        <v>2.6572422735288508E-3</v>
      </c>
      <c r="AB8" s="7">
        <f>$B8 * IFERROR(VLOOKUP("transport|NOx|Asthma symptoms wheeze", US_national_yearly!$D:$AM, 36, FALSE) / VLOOKUP("transport|NOx|Asthma symptoms wheeze", US_national_yearly!$D:$AM, 10, FALSE), 1)</f>
        <v>2.669284886157532E-3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2.5160327609824936E-5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2.5787943545859397E-5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2.6415559481893862E-5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2.7043175417928327E-5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2.7670791353962795E-5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2.8270813550315432E-5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2.8870835746668068E-5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2.9380266926579483E-5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2.988969810649089E-5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3.0399129286402305E-5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3.0908560466313716E-5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3.141799164622513E-5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3.1758555562079823E-5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3.2099119477934523E-5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3.2439683393789223E-5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3.2780247309643929E-5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3.3120811225498622E-5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3.3303276143400385E-5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3.3485741061302149E-5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3.3668205979203912E-5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3.3850670897105668E-5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3.4033135815007438E-5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3.4157826881192524E-5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3.4282517947377616E-5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3.4407209013562708E-5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3.4531900079747807E-5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3.4656591145932892E-5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1.490469195784682E-4</v>
      </c>
      <c r="C13" s="7">
        <f>$B13 * IFERROR(VLOOKUP("transport|NOx|Non-fatal heart attacks", US_national_yearly!$D:$AM, 11, FALSE) / VLOOKUP("transport|NOx|Non-fatal heart attacks", US_national_yearly!$D:$AM, 10, FALSE), 1)</f>
        <v>1.5330803969050203E-4</v>
      </c>
      <c r="D13" s="7">
        <f>$B13 * IFERROR(VLOOKUP("transport|NOx|Non-fatal heart attacks", US_national_yearly!$D:$AM, 12, FALSE) / VLOOKUP("transport|NOx|Non-fatal heart attacks", US_national_yearly!$D:$AM, 10, FALSE), 1)</f>
        <v>1.5756915980253585E-4</v>
      </c>
      <c r="E13" s="7">
        <f>$B13 * IFERROR(VLOOKUP("transport|NOx|Non-fatal heart attacks", US_national_yearly!$D:$AM, 13, FALSE) / VLOOKUP("transport|NOx|Non-fatal heart attacks", US_national_yearly!$D:$AM, 10, FALSE), 1)</f>
        <v>1.6183027991456962E-4</v>
      </c>
      <c r="F13" s="7">
        <f>$B13 * IFERROR(VLOOKUP("transport|NOx|Non-fatal heart attacks", US_national_yearly!$D:$AM, 14, FALSE) / VLOOKUP("transport|NOx|Non-fatal heart attacks", US_national_yearly!$D:$AM, 10, FALSE), 1)</f>
        <v>1.6609140002660344E-4</v>
      </c>
      <c r="G13" s="7">
        <f>$B13 * IFERROR(VLOOKUP("transport|NOx|Non-fatal heart attacks", US_national_yearly!$D:$AM, 15, FALSE) / VLOOKUP("transport|NOx|Non-fatal heart attacks", US_national_yearly!$D:$AM, 10, FALSE), 1)</f>
        <v>1.7007340791521235E-4</v>
      </c>
      <c r="H13" s="7">
        <f>$B13 * IFERROR(VLOOKUP("transport|NOx|Non-fatal heart attacks", US_national_yearly!$D:$AM, 16, FALSE) / VLOOKUP("transport|NOx|Non-fatal heart attacks", US_national_yearly!$D:$AM, 10, FALSE), 1)</f>
        <v>1.7405541580382125E-4</v>
      </c>
      <c r="I13" s="7">
        <f>$B13 * IFERROR(VLOOKUP("transport|NOx|Non-fatal heart attacks", US_national_yearly!$D:$AM, 17, FALSE) / VLOOKUP("transport|NOx|Non-fatal heart attacks", US_national_yearly!$D:$AM, 10, FALSE), 1)</f>
        <v>1.7719477383702586E-4</v>
      </c>
      <c r="J13" s="7">
        <f>$B13 * IFERROR(VLOOKUP("transport|NOx|Non-fatal heart attacks", US_national_yearly!$D:$AM, 18, FALSE) / VLOOKUP("transport|NOx|Non-fatal heart attacks", US_national_yearly!$D:$AM, 10, FALSE), 1)</f>
        <v>1.8033413187023046E-4</v>
      </c>
      <c r="K13" s="7">
        <f>$B13 * IFERROR(VLOOKUP("transport|NOx|Non-fatal heart attacks", US_national_yearly!$D:$AM, 19, FALSE) / VLOOKUP("transport|NOx|Non-fatal heart attacks", US_national_yearly!$D:$AM, 10, FALSE), 1)</f>
        <v>1.8347348990343495E-4</v>
      </c>
      <c r="L13" s="7">
        <f>$B13 * IFERROR(VLOOKUP("transport|NOx|Non-fatal heart attacks", US_national_yearly!$D:$AM, 20, FALSE) / VLOOKUP("transport|NOx|Non-fatal heart attacks", US_national_yearly!$D:$AM, 10, FALSE), 1)</f>
        <v>1.8661284793663969E-4</v>
      </c>
      <c r="M13" s="7">
        <f>$B13 * IFERROR(VLOOKUP("transport|NOx|Non-fatal heart attacks", US_national_yearly!$D:$AM, 21, FALSE) / VLOOKUP("transport|NOx|Non-fatal heart attacks", US_national_yearly!$D:$AM, 10, FALSE), 1)</f>
        <v>1.8975220596984424E-4</v>
      </c>
      <c r="N13" s="7">
        <f>$B13 * IFERROR(VLOOKUP("transport|NOx|Non-fatal heart attacks", US_national_yearly!$D:$AM, 22, FALSE) / VLOOKUP("transport|NOx|Non-fatal heart attacks", US_national_yearly!$D:$AM, 10, FALSE), 1)</f>
        <v>1.9164093896860556E-4</v>
      </c>
      <c r="O13" s="7">
        <f>$B13 * IFERROR(VLOOKUP("transport|NOx|Non-fatal heart attacks", US_national_yearly!$D:$AM, 23, FALSE) / VLOOKUP("transport|NOx|Non-fatal heart attacks", US_national_yearly!$D:$AM, 10, FALSE), 1)</f>
        <v>1.9352967196736691E-4</v>
      </c>
      <c r="P13" s="7">
        <f>$B13 * IFERROR(VLOOKUP("transport|NOx|Non-fatal heart attacks", US_national_yearly!$D:$AM, 24, FALSE) / VLOOKUP("transport|NOx|Non-fatal heart attacks", US_national_yearly!$D:$AM, 10, FALSE), 1)</f>
        <v>1.954184049661282E-4</v>
      </c>
      <c r="Q13" s="7">
        <f>$B13 * IFERROR(VLOOKUP("transport|NOx|Non-fatal heart attacks", US_national_yearly!$D:$AM, 25, FALSE) / VLOOKUP("transport|NOx|Non-fatal heart attacks", US_national_yearly!$D:$AM, 10, FALSE), 1)</f>
        <v>1.9730713796488954E-4</v>
      </c>
      <c r="R13" s="7">
        <f>$B13 * IFERROR(VLOOKUP("transport|NOx|Non-fatal heart attacks", US_national_yearly!$D:$AM, 26, FALSE) / VLOOKUP("transport|NOx|Non-fatal heart attacks", US_national_yearly!$D:$AM, 10, FALSE), 1)</f>
        <v>1.9919587096365086E-4</v>
      </c>
      <c r="S13" s="7">
        <f>$B13 * IFERROR(VLOOKUP("transport|NOx|Non-fatal heart attacks", US_national_yearly!$D:$AM, 27, FALSE) / VLOOKUP("transport|NOx|Non-fatal heart attacks", US_national_yearly!$D:$AM, 10, FALSE), 1)</f>
        <v>2.0005261331506905E-4</v>
      </c>
      <c r="T13" s="7">
        <f>$B13 * IFERROR(VLOOKUP("transport|NOx|Non-fatal heart attacks", US_national_yearly!$D:$AM, 28, FALSE) / VLOOKUP("transport|NOx|Non-fatal heart attacks", US_national_yearly!$D:$AM, 10, FALSE), 1)</f>
        <v>2.0090935566648724E-4</v>
      </c>
      <c r="U13" s="7">
        <f>$B13 * IFERROR(VLOOKUP("transport|NOx|Non-fatal heart attacks", US_national_yearly!$D:$AM, 29, FALSE) / VLOOKUP("transport|NOx|Non-fatal heart attacks", US_national_yearly!$D:$AM, 10, FALSE), 1)</f>
        <v>2.0176609801790543E-4</v>
      </c>
      <c r="V13" s="7">
        <f>$B13 * IFERROR(VLOOKUP("transport|NOx|Non-fatal heart attacks", US_national_yearly!$D:$AM, 30, FALSE) / VLOOKUP("transport|NOx|Non-fatal heart attacks", US_national_yearly!$D:$AM, 10, FALSE), 1)</f>
        <v>2.0262284036932362E-4</v>
      </c>
      <c r="W13" s="7">
        <f>$B13 * IFERROR(VLOOKUP("transport|NOx|Non-fatal heart attacks", US_national_yearly!$D:$AM, 31, FALSE) / VLOOKUP("transport|NOx|Non-fatal heart attacks", US_national_yearly!$D:$AM, 10, FALSE), 1)</f>
        <v>2.0347958272074181E-4</v>
      </c>
      <c r="X13" s="7">
        <f>$B13 * IFERROR(VLOOKUP("transport|NOx|Non-fatal heart attacks", US_national_yearly!$D:$AM, 32, FALSE) / VLOOKUP("transport|NOx|Non-fatal heart attacks", US_national_yearly!$D:$AM, 10, FALSE), 1)</f>
        <v>2.0405210304020883E-4</v>
      </c>
      <c r="Y13" s="7">
        <f>$B13 * IFERROR(VLOOKUP("transport|NOx|Non-fatal heart attacks", US_national_yearly!$D:$AM, 33, FALSE) / VLOOKUP("transport|NOx|Non-fatal heart attacks", US_national_yearly!$D:$AM, 10, FALSE), 1)</f>
        <v>2.046246233596759E-4</v>
      </c>
      <c r="Z13" s="7">
        <f>$B13 * IFERROR(VLOOKUP("transport|NOx|Non-fatal heart attacks", US_national_yearly!$D:$AM, 34, FALSE) / VLOOKUP("transport|NOx|Non-fatal heart attacks", US_national_yearly!$D:$AM, 10, FALSE), 1)</f>
        <v>2.0519714367914289E-4</v>
      </c>
      <c r="AA13" s="7">
        <f>$B13 * IFERROR(VLOOKUP("transport|NOx|Non-fatal heart attacks", US_national_yearly!$D:$AM, 35, FALSE) / VLOOKUP("transport|NOx|Non-fatal heart attacks", US_national_yearly!$D:$AM, 10, FALSE), 1)</f>
        <v>2.0576966399860991E-4</v>
      </c>
      <c r="AB13" s="7">
        <f>$B13 * IFERROR(VLOOKUP("transport|NOx|Non-fatal heart attacks", US_national_yearly!$D:$AM, 36, FALSE) / VLOOKUP("transport|NOx|Non-fatal heart attacks", US_national_yearly!$D:$AM, 10, FALSE), 1)</f>
        <v>2.0634218431807698E-4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0.12261533828154064</v>
      </c>
      <c r="C14" s="7">
        <f>$B14 * IFERROR(VLOOKUP("transport|NOx|Minor restricted activity days", US_national_yearly!$D:$AM, 11, FALSE) / VLOOKUP("transport|NOx|Minor restricted activity days", US_national_yearly!$D:$AM, 10, FALSE), 1)</f>
        <v>0.12280332817226339</v>
      </c>
      <c r="D14" s="7">
        <f>$B14 * IFERROR(VLOOKUP("transport|NOx|Minor restricted activity days", US_national_yearly!$D:$AM, 12, FALSE) / VLOOKUP("transport|NOx|Minor restricted activity days", US_national_yearly!$D:$AM, 10, FALSE), 1)</f>
        <v>0.12299131806298617</v>
      </c>
      <c r="E14" s="7">
        <f>$B14 * IFERROR(VLOOKUP("transport|NOx|Minor restricted activity days", US_national_yearly!$D:$AM, 13, FALSE) / VLOOKUP("transport|NOx|Minor restricted activity days", US_national_yearly!$D:$AM, 10, FALSE), 1)</f>
        <v>0.12317930795370895</v>
      </c>
      <c r="F14" s="7">
        <f>$B14 * IFERROR(VLOOKUP("transport|NOx|Minor restricted activity days", US_national_yearly!$D:$AM, 14, FALSE) / VLOOKUP("transport|NOx|Minor restricted activity days", US_national_yearly!$D:$AM, 10, FALSE), 1)</f>
        <v>0.12336729784443169</v>
      </c>
      <c r="G14" s="7">
        <f>$B14 * IFERROR(VLOOKUP("transport|NOx|Minor restricted activity days", US_national_yearly!$D:$AM, 15, FALSE) / VLOOKUP("transport|NOx|Minor restricted activity days", US_national_yearly!$D:$AM, 10, FALSE), 1)</f>
        <v>0.12370676284163809</v>
      </c>
      <c r="H14" s="7">
        <f>$B14 * IFERROR(VLOOKUP("transport|NOx|Minor restricted activity days", US_national_yearly!$D:$AM, 16, FALSE) / VLOOKUP("transport|NOx|Minor restricted activity days", US_national_yearly!$D:$AM, 10, FALSE), 1)</f>
        <v>0.12404622783884446</v>
      </c>
      <c r="I14" s="7">
        <f>$B14 * IFERROR(VLOOKUP("transport|NOx|Minor restricted activity days", US_national_yearly!$D:$AM, 17, FALSE) / VLOOKUP("transport|NOx|Minor restricted activity days", US_national_yearly!$D:$AM, 10, FALSE), 1)</f>
        <v>0.12471020794954514</v>
      </c>
      <c r="J14" s="7">
        <f>$B14 * IFERROR(VLOOKUP("transport|NOx|Minor restricted activity days", US_national_yearly!$D:$AM, 18, FALSE) / VLOOKUP("transport|NOx|Minor restricted activity days", US_national_yearly!$D:$AM, 10, FALSE), 1)</f>
        <v>0.12537418806024581</v>
      </c>
      <c r="K14" s="7">
        <f>$B14 * IFERROR(VLOOKUP("transport|NOx|Minor restricted activity days", US_national_yearly!$D:$AM, 19, FALSE) / VLOOKUP("transport|NOx|Minor restricted activity days", US_national_yearly!$D:$AM, 10, FALSE), 1)</f>
        <v>0.12603816817094649</v>
      </c>
      <c r="L14" s="7">
        <f>$B14 * IFERROR(VLOOKUP("transport|NOx|Minor restricted activity days", US_national_yearly!$D:$AM, 20, FALSE) / VLOOKUP("transport|NOx|Minor restricted activity days", US_national_yearly!$D:$AM, 10, FALSE), 1)</f>
        <v>0.12670214828164714</v>
      </c>
      <c r="M14" s="7">
        <f>$B14 * IFERROR(VLOOKUP("transport|NOx|Minor restricted activity days", US_national_yearly!$D:$AM, 21, FALSE) / VLOOKUP("transport|NOx|Minor restricted activity days", US_national_yearly!$D:$AM, 10, FALSE), 1)</f>
        <v>0.12736612839234782</v>
      </c>
      <c r="N14" s="7">
        <f>$B14 * IFERROR(VLOOKUP("transport|NOx|Minor restricted activity days", US_national_yearly!$D:$AM, 22, FALSE) / VLOOKUP("transport|NOx|Minor restricted activity days", US_national_yearly!$D:$AM, 10, FALSE), 1)</f>
        <v>0.128316797356642</v>
      </c>
      <c r="O14" s="7">
        <f>$B14 * IFERROR(VLOOKUP("transport|NOx|Minor restricted activity days", US_national_yearly!$D:$AM, 23, FALSE) / VLOOKUP("transport|NOx|Minor restricted activity days", US_national_yearly!$D:$AM, 10, FALSE), 1)</f>
        <v>0.12926746632093619</v>
      </c>
      <c r="P14" s="7">
        <f>$B14 * IFERROR(VLOOKUP("transport|NOx|Minor restricted activity days", US_national_yearly!$D:$AM, 24, FALSE) / VLOOKUP("transport|NOx|Minor restricted activity days", US_national_yearly!$D:$AM, 10, FALSE), 1)</f>
        <v>0.13021813528523038</v>
      </c>
      <c r="Q14" s="7">
        <f>$B14 * IFERROR(VLOOKUP("transport|NOx|Minor restricted activity days", US_national_yearly!$D:$AM, 25, FALSE) / VLOOKUP("transport|NOx|Minor restricted activity days", US_national_yearly!$D:$AM, 10, FALSE), 1)</f>
        <v>0.13116880424952457</v>
      </c>
      <c r="R14" s="7">
        <f>$B14 * IFERROR(VLOOKUP("transport|NOx|Minor restricted activity days", US_national_yearly!$D:$AM, 26, FALSE) / VLOOKUP("transport|NOx|Minor restricted activity days", US_national_yearly!$D:$AM, 10, FALSE), 1)</f>
        <v>0.13211947321381876</v>
      </c>
      <c r="S14" s="7">
        <f>$B14 * IFERROR(VLOOKUP("transport|NOx|Minor restricted activity days", US_national_yearly!$D:$AM, 27, FALSE) / VLOOKUP("transport|NOx|Minor restricted activity days", US_national_yearly!$D:$AM, 10, FALSE), 1)</f>
        <v>0.13306994230199795</v>
      </c>
      <c r="T14" s="7">
        <f>$B14 * IFERROR(VLOOKUP("transport|NOx|Minor restricted activity days", US_national_yearly!$D:$AM, 28, FALSE) / VLOOKUP("transport|NOx|Minor restricted activity days", US_national_yearly!$D:$AM, 10, FALSE), 1)</f>
        <v>0.13402041139017712</v>
      </c>
      <c r="U14" s="7">
        <f>$B14 * IFERROR(VLOOKUP("transport|NOx|Minor restricted activity days", US_national_yearly!$D:$AM, 29, FALSE) / VLOOKUP("transport|NOx|Minor restricted activity days", US_national_yearly!$D:$AM, 10, FALSE), 1)</f>
        <v>0.13497088047835634</v>
      </c>
      <c r="V14" s="7">
        <f>$B14 * IFERROR(VLOOKUP("transport|NOx|Minor restricted activity days", US_national_yearly!$D:$AM, 30, FALSE) / VLOOKUP("transport|NOx|Minor restricted activity days", US_national_yearly!$D:$AM, 10, FALSE), 1)</f>
        <v>0.13592134956653554</v>
      </c>
      <c r="W14" s="7">
        <f>$B14 * IFERROR(VLOOKUP("transport|NOx|Minor restricted activity days", US_national_yearly!$D:$AM, 31, FALSE) / VLOOKUP("transport|NOx|Minor restricted activity days", US_national_yearly!$D:$AM, 10, FALSE), 1)</f>
        <v>0.13687181865471471</v>
      </c>
      <c r="X14" s="7">
        <f>$B14 * IFERROR(VLOOKUP("transport|NOx|Minor restricted activity days", US_national_yearly!$D:$AM, 32, FALSE) / VLOOKUP("transport|NOx|Minor restricted activity days", US_national_yearly!$D:$AM, 10, FALSE), 1)</f>
        <v>0.13767540405986153</v>
      </c>
      <c r="Y14" s="7">
        <f>$B14 * IFERROR(VLOOKUP("transport|NOx|Minor restricted activity days", US_national_yearly!$D:$AM, 33, FALSE) / VLOOKUP("transport|NOx|Minor restricted activity days", US_national_yearly!$D:$AM, 10, FALSE), 1)</f>
        <v>0.13847898946500836</v>
      </c>
      <c r="Z14" s="7">
        <f>$B14 * IFERROR(VLOOKUP("transport|NOx|Minor restricted activity days", US_national_yearly!$D:$AM, 34, FALSE) / VLOOKUP("transport|NOx|Minor restricted activity days", US_national_yearly!$D:$AM, 10, FALSE), 1)</f>
        <v>0.13928257487015519</v>
      </c>
      <c r="AA14" s="7">
        <f>$B14 * IFERROR(VLOOKUP("transport|NOx|Minor restricted activity days", US_national_yearly!$D:$AM, 35, FALSE) / VLOOKUP("transport|NOx|Minor restricted activity days", US_national_yearly!$D:$AM, 10, FALSE), 1)</f>
        <v>0.14008616027530205</v>
      </c>
      <c r="AB14" s="7">
        <f>$B14 * IFERROR(VLOOKUP("transport|NOx|Minor restricted activity days", US_national_yearly!$D:$AM, 36, FALSE) / VLOOKUP("transport|NOx|Minor restricted activity days", US_national_yearly!$D:$AM, 10, FALSE), 1)</f>
        <v>0.14088974568044887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2.0785585951936789E-2</v>
      </c>
      <c r="C15" s="7">
        <f>$B15 * IFERROR(VLOOKUP("transport|NOx|Work loss days", US_national_yearly!$D:$AM, 11, FALSE) / VLOOKUP("transport|NOx|Work loss days", US_national_yearly!$D:$AM, 10, FALSE), 1)</f>
        <v>2.0831822369692981E-2</v>
      </c>
      <c r="D15" s="7">
        <f>$B15 * IFERROR(VLOOKUP("transport|NOx|Work loss days", US_national_yearly!$D:$AM, 12, FALSE) / VLOOKUP("transport|NOx|Work loss days", US_national_yearly!$D:$AM, 10, FALSE), 1)</f>
        <v>2.087805878744918E-2</v>
      </c>
      <c r="E15" s="7">
        <f>$B15 * IFERROR(VLOOKUP("transport|NOx|Work loss days", US_national_yearly!$D:$AM, 13, FALSE) / VLOOKUP("transport|NOx|Work loss days", US_national_yearly!$D:$AM, 10, FALSE), 1)</f>
        <v>2.0924295205205373E-2</v>
      </c>
      <c r="F15" s="7">
        <f>$B15 * IFERROR(VLOOKUP("transport|NOx|Work loss days", US_national_yearly!$D:$AM, 14, FALSE) / VLOOKUP("transport|NOx|Work loss days", US_national_yearly!$D:$AM, 10, FALSE), 1)</f>
        <v>2.0970531622961572E-2</v>
      </c>
      <c r="G15" s="7">
        <f>$B15 * IFERROR(VLOOKUP("transport|NOx|Work loss days", US_national_yearly!$D:$AM, 15, FALSE) / VLOOKUP("transport|NOx|Work loss days", US_national_yearly!$D:$AM, 10, FALSE), 1)</f>
        <v>2.103803718730279E-2</v>
      </c>
      <c r="H15" s="7">
        <f>$B15 * IFERROR(VLOOKUP("transport|NOx|Work loss days", US_national_yearly!$D:$AM, 16, FALSE) / VLOOKUP("transport|NOx|Work loss days", US_national_yearly!$D:$AM, 10, FALSE), 1)</f>
        <v>2.1105542751644009E-2</v>
      </c>
      <c r="I15" s="7">
        <f>$B15 * IFERROR(VLOOKUP("transport|NOx|Work loss days", US_national_yearly!$D:$AM, 17, FALSE) / VLOOKUP("transport|NOx|Work loss days", US_national_yearly!$D:$AM, 10, FALSE), 1)</f>
        <v>2.1214898107330588E-2</v>
      </c>
      <c r="J15" s="7">
        <f>$B15 * IFERROR(VLOOKUP("transport|NOx|Work loss days", US_national_yearly!$D:$AM, 18, FALSE) / VLOOKUP("transport|NOx|Work loss days", US_national_yearly!$D:$AM, 10, FALSE), 1)</f>
        <v>2.1324253463017175E-2</v>
      </c>
      <c r="K15" s="7">
        <f>$B15 * IFERROR(VLOOKUP("transport|NOx|Work loss days", US_national_yearly!$D:$AM, 19, FALSE) / VLOOKUP("transport|NOx|Work loss days", US_national_yearly!$D:$AM, 10, FALSE), 1)</f>
        <v>2.1433608818703754E-2</v>
      </c>
      <c r="L15" s="7">
        <f>$B15 * IFERROR(VLOOKUP("transport|NOx|Work loss days", US_national_yearly!$D:$AM, 20, FALSE) / VLOOKUP("transport|NOx|Work loss days", US_national_yearly!$D:$AM, 10, FALSE), 1)</f>
        <v>2.1542964174390333E-2</v>
      </c>
      <c r="M15" s="7">
        <f>$B15 * IFERROR(VLOOKUP("transport|NOx|Work loss days", US_national_yearly!$D:$AM, 21, FALSE) / VLOOKUP("transport|NOx|Work loss days", US_national_yearly!$D:$AM, 10, FALSE), 1)</f>
        <v>2.1652319530076916E-2</v>
      </c>
      <c r="N15" s="7">
        <f>$B15 * IFERROR(VLOOKUP("transport|NOx|Work loss days", US_national_yearly!$D:$AM, 22, FALSE) / VLOOKUP("transport|NOx|Work loss days", US_national_yearly!$D:$AM, 10, FALSE), 1)</f>
        <v>2.1794638815159476E-2</v>
      </c>
      <c r="O15" s="7">
        <f>$B15 * IFERROR(VLOOKUP("transport|NOx|Work loss days", US_national_yearly!$D:$AM, 23, FALSE) / VLOOKUP("transport|NOx|Work loss days", US_national_yearly!$D:$AM, 10, FALSE), 1)</f>
        <v>2.1936958100242036E-2</v>
      </c>
      <c r="P15" s="7">
        <f>$B15 * IFERROR(VLOOKUP("transport|NOx|Work loss days", US_national_yearly!$D:$AM, 24, FALSE) / VLOOKUP("transport|NOx|Work loss days", US_national_yearly!$D:$AM, 10, FALSE), 1)</f>
        <v>2.2079277385324596E-2</v>
      </c>
      <c r="Q15" s="7">
        <f>$B15 * IFERROR(VLOOKUP("transport|NOx|Work loss days", US_national_yearly!$D:$AM, 25, FALSE) / VLOOKUP("transport|NOx|Work loss days", US_national_yearly!$D:$AM, 10, FALSE), 1)</f>
        <v>2.222159667040715E-2</v>
      </c>
      <c r="R15" s="7">
        <f>$B15 * IFERROR(VLOOKUP("transport|NOx|Work loss days", US_national_yearly!$D:$AM, 26, FALSE) / VLOOKUP("transport|NOx|Work loss days", US_national_yearly!$D:$AM, 10, FALSE), 1)</f>
        <v>2.2363915955489717E-2</v>
      </c>
      <c r="S15" s="7">
        <f>$B15 * IFERROR(VLOOKUP("transport|NOx|Work loss days", US_national_yearly!$D:$AM, 27, FALSE) / VLOOKUP("transport|NOx|Work loss days", US_national_yearly!$D:$AM, 10, FALSE), 1)</f>
        <v>2.2522583761127674E-2</v>
      </c>
      <c r="T15" s="7">
        <f>$B15 * IFERROR(VLOOKUP("transport|NOx|Work loss days", US_national_yearly!$D:$AM, 28, FALSE) / VLOOKUP("transport|NOx|Work loss days", US_national_yearly!$D:$AM, 10, FALSE), 1)</f>
        <v>2.268125156676563E-2</v>
      </c>
      <c r="U15" s="7">
        <f>$B15 * IFERROR(VLOOKUP("transport|NOx|Work loss days", US_national_yearly!$D:$AM, 29, FALSE) / VLOOKUP("transport|NOx|Work loss days", US_national_yearly!$D:$AM, 10, FALSE), 1)</f>
        <v>2.2839919372403584E-2</v>
      </c>
      <c r="V15" s="7">
        <f>$B15 * IFERROR(VLOOKUP("transport|NOx|Work loss days", US_national_yearly!$D:$AM, 30, FALSE) / VLOOKUP("transport|NOx|Work loss days", US_national_yearly!$D:$AM, 10, FALSE), 1)</f>
        <v>2.2998587178041544E-2</v>
      </c>
      <c r="W15" s="7">
        <f>$B15 * IFERROR(VLOOKUP("transport|NOx|Work loss days", US_national_yearly!$D:$AM, 31, FALSE) / VLOOKUP("transport|NOx|Work loss days", US_national_yearly!$D:$AM, 10, FALSE), 1)</f>
        <v>2.3157254983679501E-2</v>
      </c>
      <c r="X15" s="7">
        <f>$B15 * IFERROR(VLOOKUP("transport|NOx|Work loss days", US_national_yearly!$D:$AM, 32, FALSE) / VLOOKUP("transport|NOx|Work loss days", US_national_yearly!$D:$AM, 10, FALSE), 1)</f>
        <v>2.3294970179323016E-2</v>
      </c>
      <c r="Y15" s="7">
        <f>$B15 * IFERROR(VLOOKUP("transport|NOx|Work loss days", US_national_yearly!$D:$AM, 33, FALSE) / VLOOKUP("transport|NOx|Work loss days", US_national_yearly!$D:$AM, 10, FALSE), 1)</f>
        <v>2.3432685374966535E-2</v>
      </c>
      <c r="Z15" s="7">
        <f>$B15 * IFERROR(VLOOKUP("transport|NOx|Work loss days", US_national_yearly!$D:$AM, 34, FALSE) / VLOOKUP("transport|NOx|Work loss days", US_national_yearly!$D:$AM, 10, FALSE), 1)</f>
        <v>2.3570400570610051E-2</v>
      </c>
      <c r="AA15" s="7">
        <f>$B15 * IFERROR(VLOOKUP("transport|NOx|Work loss days", US_national_yearly!$D:$AM, 35, FALSE) / VLOOKUP("transport|NOx|Work loss days", US_national_yearly!$D:$AM, 10, FALSE), 1)</f>
        <v>2.3708115766253566E-2</v>
      </c>
      <c r="AB15" s="7">
        <f>$B15 * IFERROR(VLOOKUP("transport|NOx|Work loss days", US_national_yearly!$D:$AM, 36, FALSE) / VLOOKUP("transport|NOx|Work loss days", US_national_yearly!$D:$AM, 10, FALSE), 1)</f>
        <v>2.3845830961897081E-2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3.5966391434793339E-5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3.7023250601276561E-5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3.808010976775977E-5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3.9136968934242986E-5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4.0193828100726201E-5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4.1197669531224928E-5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4.2201510961723654E-5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4.3045664162777786E-5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4.3889817363831918E-5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4.4733970564886056E-5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4.5578123765940188E-5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4.6422276966994326E-5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4.6950153934448998E-5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4.7478030901903671E-5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4.8005907869358337E-5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4.8533784836813009E-5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4.9061661804267682E-5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4.9302517568761968E-5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4.954337333325626E-5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4.9784229097750539E-5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5.0025084862244832E-5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5.0265940626739124E-5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5.0399985210056782E-5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5.053402979337444E-5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5.0668074376692105E-5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5.0802118960009763E-5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5.0936163543327421E-5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9.4946470967823774E-4</v>
      </c>
      <c r="C2" s="7">
        <f>$B2 * IFERROR(VLOOKUP("transport|SO2|Premature mortality", US_national_yearly!$D:$AM, 11, FALSE) / VLOOKUP("transport|SO2|Premature mortality", US_national_yearly!$D:$AM, 10, FALSE), 1)</f>
        <v>9.6148916650472987E-4</v>
      </c>
      <c r="D2" s="7">
        <f>$B2 * IFERROR(VLOOKUP("transport|SO2|Premature mortality", US_national_yearly!$D:$AM, 12, FALSE) / VLOOKUP("transport|SO2|Premature mortality", US_national_yearly!$D:$AM, 10, FALSE), 1)</f>
        <v>9.735136233312221E-4</v>
      </c>
      <c r="E2" s="7">
        <f>$B2 * IFERROR(VLOOKUP("transport|SO2|Premature mortality", US_national_yearly!$D:$AM, 13, FALSE) / VLOOKUP("transport|SO2|Premature mortality", US_national_yearly!$D:$AM, 10, FALSE), 1)</f>
        <v>9.8553808015771423E-4</v>
      </c>
      <c r="F2" s="7">
        <f>$B2 * IFERROR(VLOOKUP("transport|SO2|Premature mortality", US_national_yearly!$D:$AM, 14, FALSE) / VLOOKUP("transport|SO2|Premature mortality", US_national_yearly!$D:$AM, 10, FALSE), 1)</f>
        <v>9.9756253698420625E-4</v>
      </c>
      <c r="G2" s="7">
        <f>$B2 * IFERROR(VLOOKUP("transport|SO2|Premature mortality", US_national_yearly!$D:$AM, 15, FALSE) / VLOOKUP("transport|SO2|Premature mortality", US_national_yearly!$D:$AM, 10, FALSE), 1)</f>
        <v>1.020732983816573E-3</v>
      </c>
      <c r="H2" s="7">
        <f>$B2 * IFERROR(VLOOKUP("transport|SO2|Premature mortality", US_national_yearly!$D:$AM, 16, FALSE) / VLOOKUP("transport|SO2|Premature mortality", US_national_yearly!$D:$AM, 10, FALSE), 1)</f>
        <v>1.0439034306489396E-3</v>
      </c>
      <c r="I2" s="7">
        <f>$B2 * IFERROR(VLOOKUP("transport|SO2|Premature mortality", US_national_yearly!$D:$AM, 17, FALSE) / VLOOKUP("transport|SO2|Premature mortality", US_national_yearly!$D:$AM, 10, FALSE), 1)</f>
        <v>1.0592158816621769E-3</v>
      </c>
      <c r="J2" s="7">
        <f>$B2 * IFERROR(VLOOKUP("transport|SO2|Premature mortality", US_national_yearly!$D:$AM, 18, FALSE) / VLOOKUP("transport|SO2|Premature mortality", US_national_yearly!$D:$AM, 10, FALSE), 1)</f>
        <v>1.0745283326754143E-3</v>
      </c>
      <c r="K2" s="7">
        <f>$B2 * IFERROR(VLOOKUP("transport|SO2|Premature mortality", US_national_yearly!$D:$AM, 19, FALSE) / VLOOKUP("transport|SO2|Premature mortality", US_national_yearly!$D:$AM, 10, FALSE), 1)</f>
        <v>1.0898407836886512E-3</v>
      </c>
      <c r="L2" s="7">
        <f>$B2 * IFERROR(VLOOKUP("transport|SO2|Premature mortality", US_national_yearly!$D:$AM, 20, FALSE) / VLOOKUP("transport|SO2|Premature mortality", US_national_yearly!$D:$AM, 10, FALSE), 1)</f>
        <v>1.1051532347018886E-3</v>
      </c>
      <c r="M2" s="7">
        <f>$B2 * IFERROR(VLOOKUP("transport|SO2|Premature mortality", US_national_yearly!$D:$AM, 21, FALSE) / VLOOKUP("transport|SO2|Premature mortality", US_national_yearly!$D:$AM, 10, FALSE), 1)</f>
        <v>1.1204656857151259E-3</v>
      </c>
      <c r="N2" s="7">
        <f>$B2 * IFERROR(VLOOKUP("transport|SO2|Premature mortality", US_national_yearly!$D:$AM, 22, FALSE) / VLOOKUP("transport|SO2|Premature mortality", US_national_yearly!$D:$AM, 10, FALSE), 1)</f>
        <v>1.1324300043477737E-3</v>
      </c>
      <c r="O2" s="7">
        <f>$B2 * IFERROR(VLOOKUP("transport|SO2|Premature mortality", US_national_yearly!$D:$AM, 23, FALSE) / VLOOKUP("transport|SO2|Premature mortality", US_national_yearly!$D:$AM, 10, FALSE), 1)</f>
        <v>1.1443943229804215E-3</v>
      </c>
      <c r="P2" s="7">
        <f>$B2 * IFERROR(VLOOKUP("transport|SO2|Premature mortality", US_national_yearly!$D:$AM, 24, FALSE) / VLOOKUP("transport|SO2|Premature mortality", US_national_yearly!$D:$AM, 10, FALSE), 1)</f>
        <v>1.1563586416130692E-3</v>
      </c>
      <c r="Q2" s="7">
        <f>$B2 * IFERROR(VLOOKUP("transport|SO2|Premature mortality", US_national_yearly!$D:$AM, 25, FALSE) / VLOOKUP("transport|SO2|Premature mortality", US_national_yearly!$D:$AM, 10, FALSE), 1)</f>
        <v>1.168322960245717E-3</v>
      </c>
      <c r="R2" s="7">
        <f>$B2 * IFERROR(VLOOKUP("transport|SO2|Premature mortality", US_national_yearly!$D:$AM, 26, FALSE) / VLOOKUP("transport|SO2|Premature mortality", US_national_yearly!$D:$AM, 10, FALSE), 1)</f>
        <v>1.1802872788783645E-3</v>
      </c>
      <c r="S2" s="7">
        <f>$B2 * IFERROR(VLOOKUP("transport|SO2|Premature mortality", US_national_yearly!$D:$AM, 27, FALSE) / VLOOKUP("transport|SO2|Premature mortality", US_national_yearly!$D:$AM, 10, FALSE), 1)</f>
        <v>1.186694330813434E-3</v>
      </c>
      <c r="T2" s="7">
        <f>$B2 * IFERROR(VLOOKUP("transport|SO2|Premature mortality", US_national_yearly!$D:$AM, 28, FALSE) / VLOOKUP("transport|SO2|Premature mortality", US_national_yearly!$D:$AM, 10, FALSE), 1)</f>
        <v>1.1931013827485033E-3</v>
      </c>
      <c r="U2" s="7">
        <f>$B2 * IFERROR(VLOOKUP("transport|SO2|Premature mortality", US_national_yearly!$D:$AM, 29, FALSE) / VLOOKUP("transport|SO2|Premature mortality", US_national_yearly!$D:$AM, 10, FALSE), 1)</f>
        <v>1.1995084346835725E-3</v>
      </c>
      <c r="V2" s="7">
        <f>$B2 * IFERROR(VLOOKUP("transport|SO2|Premature mortality", US_national_yearly!$D:$AM, 30, FALSE) / VLOOKUP("transport|SO2|Premature mortality", US_national_yearly!$D:$AM, 10, FALSE), 1)</f>
        <v>1.2059154866186415E-3</v>
      </c>
      <c r="W2" s="7">
        <f>$B2 * IFERROR(VLOOKUP("transport|SO2|Premature mortality", US_national_yearly!$D:$AM, 31, FALSE) / VLOOKUP("transport|SO2|Premature mortality", US_national_yearly!$D:$AM, 10, FALSE), 1)</f>
        <v>1.212322538553711E-3</v>
      </c>
      <c r="X2" s="7">
        <f>$B2 * IFERROR(VLOOKUP("transport|SO2|Premature mortality", US_national_yearly!$D:$AM, 32, FALSE) / VLOOKUP("transport|SO2|Premature mortality", US_national_yearly!$D:$AM, 10, FALSE), 1)</f>
        <v>1.2136241507520182E-3</v>
      </c>
      <c r="Y2" s="7">
        <f>$B2 * IFERROR(VLOOKUP("transport|SO2|Premature mortality", US_national_yearly!$D:$AM, 33, FALSE) / VLOOKUP("transport|SO2|Premature mortality", US_national_yearly!$D:$AM, 10, FALSE), 1)</f>
        <v>1.2149257629503259E-3</v>
      </c>
      <c r="Z2" s="7">
        <f>$B2 * IFERROR(VLOOKUP("transport|SO2|Premature mortality", US_national_yearly!$D:$AM, 34, FALSE) / VLOOKUP("transport|SO2|Premature mortality", US_national_yearly!$D:$AM, 10, FALSE), 1)</f>
        <v>1.2162273751486334E-3</v>
      </c>
      <c r="AA2" s="7">
        <f>$B2 * IFERROR(VLOOKUP("transport|SO2|Premature mortality", US_national_yearly!$D:$AM, 35, FALSE) / VLOOKUP("transport|SO2|Premature mortality", US_national_yearly!$D:$AM, 10, FALSE), 1)</f>
        <v>1.217528987346941E-3</v>
      </c>
      <c r="AB2" s="7">
        <f>$B2 * IFERROR(VLOOKUP("transport|SO2|Premature mortality", US_national_yearly!$D:$AM, 36, FALSE) / VLOOKUP("transport|SO2|Premature mortality", US_national_yearly!$D:$AM, 10, FALSE), 1)</f>
        <v>1.2188305995452483E-3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2.5772883249950607E-6</v>
      </c>
      <c r="C3" s="7">
        <f>$B3 * IFERROR(VLOOKUP("transport|SO2|Infant mortality", US_national_yearly!$D:$AM, 11, FALSE) / VLOOKUP("transport|SO2|Infant mortality", US_national_yearly!$D:$AM, 10, FALSE), 1)</f>
        <v>2.5551489481716046E-6</v>
      </c>
      <c r="D3" s="7">
        <f>$B3 * IFERROR(VLOOKUP("transport|SO2|Infant mortality", US_national_yearly!$D:$AM, 12, FALSE) / VLOOKUP("transport|SO2|Infant mortality", US_national_yearly!$D:$AM, 10, FALSE), 1)</f>
        <v>2.533009571348149E-6</v>
      </c>
      <c r="E3" s="7">
        <f>$B3 * IFERROR(VLOOKUP("transport|SO2|Infant mortality", US_national_yearly!$D:$AM, 13, FALSE) / VLOOKUP("transport|SO2|Infant mortality", US_national_yearly!$D:$AM, 10, FALSE), 1)</f>
        <v>2.5108701945246925E-6</v>
      </c>
      <c r="F3" s="7">
        <f>$B3 * IFERROR(VLOOKUP("transport|SO2|Infant mortality", US_national_yearly!$D:$AM, 14, FALSE) / VLOOKUP("transport|SO2|Infant mortality", US_national_yearly!$D:$AM, 10, FALSE), 1)</f>
        <v>2.4887308177012368E-6</v>
      </c>
      <c r="G3" s="7">
        <f>$B3 * IFERROR(VLOOKUP("transport|SO2|Infant mortality", US_national_yearly!$D:$AM, 15, FALSE) / VLOOKUP("transport|SO2|Infant mortality", US_national_yearly!$D:$AM, 10, FALSE), 1)</f>
        <v>1.6576951709029956E-6</v>
      </c>
      <c r="H3" s="7">
        <f>$B3 * IFERROR(VLOOKUP("transport|SO2|Infant mortality", US_national_yearly!$D:$AM, 16, FALSE) / VLOOKUP("transport|SO2|Infant mortality", US_national_yearly!$D:$AM, 10, FALSE), 1)</f>
        <v>8.2665952410475573E-7</v>
      </c>
      <c r="I3" s="7">
        <f>$B3 * IFERROR(VLOOKUP("transport|SO2|Infant mortality", US_national_yearly!$D:$AM, 17, FALSE) / VLOOKUP("transport|SO2|Infant mortality", US_national_yearly!$D:$AM, 10, FALSE), 1)</f>
        <v>8.2147363928030298E-7</v>
      </c>
      <c r="J3" s="7">
        <f>$B3 * IFERROR(VLOOKUP("transport|SO2|Infant mortality", US_national_yearly!$D:$AM, 18, FALSE) / VLOOKUP("transport|SO2|Infant mortality", US_national_yearly!$D:$AM, 10, FALSE), 1)</f>
        <v>8.1628775445585012E-7</v>
      </c>
      <c r="K3" s="7">
        <f>$B3 * IFERROR(VLOOKUP("transport|SO2|Infant mortality", US_national_yearly!$D:$AM, 19, FALSE) / VLOOKUP("transport|SO2|Infant mortality", US_national_yearly!$D:$AM, 10, FALSE), 1)</f>
        <v>8.1110186963139727E-7</v>
      </c>
      <c r="L3" s="7">
        <f>$B3 * IFERROR(VLOOKUP("transport|SO2|Infant mortality", US_national_yearly!$D:$AM, 20, FALSE) / VLOOKUP("transport|SO2|Infant mortality", US_national_yearly!$D:$AM, 10, FALSE), 1)</f>
        <v>8.0591598480694452E-7</v>
      </c>
      <c r="M3" s="7">
        <f>$B3 * IFERROR(VLOOKUP("transport|SO2|Infant mortality", US_national_yearly!$D:$AM, 21, FALSE) / VLOOKUP("transport|SO2|Infant mortality", US_national_yearly!$D:$AM, 10, FALSE), 1)</f>
        <v>8.0073009998249166E-7</v>
      </c>
      <c r="N3" s="7">
        <f>$B3 * IFERROR(VLOOKUP("transport|SO2|Infant mortality", US_national_yearly!$D:$AM, 22, FALSE) / VLOOKUP("transport|SO2|Infant mortality", US_national_yearly!$D:$AM, 10, FALSE), 1)</f>
        <v>7.9747495890315067E-7</v>
      </c>
      <c r="O3" s="7">
        <f>$B3 * IFERROR(VLOOKUP("transport|SO2|Infant mortality", US_national_yearly!$D:$AM, 23, FALSE) / VLOOKUP("transport|SO2|Infant mortality", US_national_yearly!$D:$AM, 10, FALSE), 1)</f>
        <v>7.9421981782380968E-7</v>
      </c>
      <c r="P3" s="7">
        <f>$B3 * IFERROR(VLOOKUP("transport|SO2|Infant mortality", US_national_yearly!$D:$AM, 24, FALSE) / VLOOKUP("transport|SO2|Infant mortality", US_national_yearly!$D:$AM, 10, FALSE), 1)</f>
        <v>7.9096467674446849E-7</v>
      </c>
      <c r="Q3" s="7">
        <f>$B3 * IFERROR(VLOOKUP("transport|SO2|Infant mortality", US_national_yearly!$D:$AM, 25, FALSE) / VLOOKUP("transport|SO2|Infant mortality", US_national_yearly!$D:$AM, 10, FALSE), 1)</f>
        <v>7.877095356651275E-7</v>
      </c>
      <c r="R3" s="7">
        <f>$B3 * IFERROR(VLOOKUP("transport|SO2|Infant mortality", US_national_yearly!$D:$AM, 26, FALSE) / VLOOKUP("transport|SO2|Infant mortality", US_national_yearly!$D:$AM, 10, FALSE), 1)</f>
        <v>7.844543945857863E-7</v>
      </c>
      <c r="S3" s="7">
        <f>$B3 * IFERROR(VLOOKUP("transport|SO2|Infant mortality", US_national_yearly!$D:$AM, 27, FALSE) / VLOOKUP("transport|SO2|Infant mortality", US_national_yearly!$D:$AM, 10, FALSE), 1)</f>
        <v>7.8036736665323421E-7</v>
      </c>
      <c r="T3" s="7">
        <f>$B3 * IFERROR(VLOOKUP("transport|SO2|Infant mortality", US_national_yearly!$D:$AM, 28, FALSE) / VLOOKUP("transport|SO2|Infant mortality", US_national_yearly!$D:$AM, 10, FALSE), 1)</f>
        <v>7.7628033872068202E-7</v>
      </c>
      <c r="U3" s="7">
        <f>$B3 * IFERROR(VLOOKUP("transport|SO2|Infant mortality", US_national_yearly!$D:$AM, 29, FALSE) / VLOOKUP("transport|SO2|Infant mortality", US_national_yearly!$D:$AM, 10, FALSE), 1)</f>
        <v>7.7219331078812961E-7</v>
      </c>
      <c r="V3" s="7">
        <f>$B3 * IFERROR(VLOOKUP("transport|SO2|Infant mortality", US_national_yearly!$D:$AM, 30, FALSE) / VLOOKUP("transport|SO2|Infant mortality", US_national_yearly!$D:$AM, 10, FALSE), 1)</f>
        <v>7.6810628285557752E-7</v>
      </c>
      <c r="W3" s="7">
        <f>$B3 * IFERROR(VLOOKUP("transport|SO2|Infant mortality", US_national_yearly!$D:$AM, 31, FALSE) / VLOOKUP("transport|SO2|Infant mortality", US_national_yearly!$D:$AM, 10, FALSE), 1)</f>
        <v>7.6401925492302522E-7</v>
      </c>
      <c r="X3" s="7">
        <f>$B3 * IFERROR(VLOOKUP("transport|SO2|Infant mortality", US_national_yearly!$D:$AM, 32, FALSE) / VLOOKUP("transport|SO2|Infant mortality", US_national_yearly!$D:$AM, 10, FALSE), 1)</f>
        <v>7.5955087184136638E-7</v>
      </c>
      <c r="Y3" s="7">
        <f>$B3 * IFERROR(VLOOKUP("transport|SO2|Infant mortality", US_national_yearly!$D:$AM, 33, FALSE) / VLOOKUP("transport|SO2|Infant mortality", US_national_yearly!$D:$AM, 10, FALSE), 1)</f>
        <v>7.5508248875970711E-7</v>
      </c>
      <c r="Z3" s="7">
        <f>$B3 * IFERROR(VLOOKUP("transport|SO2|Infant mortality", US_national_yearly!$D:$AM, 34, FALSE) / VLOOKUP("transport|SO2|Infant mortality", US_national_yearly!$D:$AM, 10, FALSE), 1)</f>
        <v>7.5061410567804816E-7</v>
      </c>
      <c r="AA3" s="7">
        <f>$B3 * IFERROR(VLOOKUP("transport|SO2|Infant mortality", US_national_yearly!$D:$AM, 35, FALSE) / VLOOKUP("transport|SO2|Infant mortality", US_national_yearly!$D:$AM, 10, FALSE), 1)</f>
        <v>7.46145722596389E-7</v>
      </c>
      <c r="AB3" s="7">
        <f>$B3 * IFERROR(VLOOKUP("transport|SO2|Infant mortality", US_national_yearly!$D:$AM, 36, FALSE) / VLOOKUP("transport|SO2|Infant mortality", US_national_yearly!$D:$AM, 10, FALSE), 1)</f>
        <v>7.4167733951473005E-7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2.9315131994688821E-3</v>
      </c>
      <c r="C6" s="7">
        <f>$B6 * IFERROR(VLOOKUP("transport|SO2|Asthma symptoms cough", US_national_yearly!$D:$AM, 11, FALSE) / VLOOKUP("transport|SO2|Asthma symptoms cough", US_national_yearly!$D:$AM, 10, FALSE), 1)</f>
        <v>2.9315131994688821E-3</v>
      </c>
      <c r="D6" s="7">
        <f>$B6 * IFERROR(VLOOKUP("transport|SO2|Asthma symptoms cough", US_national_yearly!$D:$AM, 12, FALSE) / VLOOKUP("transport|SO2|Asthma symptoms cough", US_national_yearly!$D:$AM, 10, FALSE), 1)</f>
        <v>2.9315131994688821E-3</v>
      </c>
      <c r="E6" s="7">
        <f>$B6 * IFERROR(VLOOKUP("transport|SO2|Asthma symptoms cough", US_national_yearly!$D:$AM, 13, FALSE) / VLOOKUP("transport|SO2|Asthma symptoms cough", US_national_yearly!$D:$AM, 10, FALSE), 1)</f>
        <v>2.9315131994688821E-3</v>
      </c>
      <c r="F6" s="7">
        <f>$B6 * IFERROR(VLOOKUP("transport|SO2|Asthma symptoms cough", US_national_yearly!$D:$AM, 14, FALSE) / VLOOKUP("transport|SO2|Asthma symptoms cough", US_national_yearly!$D:$AM, 10, FALSE), 1)</f>
        <v>2.9315131994688821E-3</v>
      </c>
      <c r="G6" s="7">
        <f>$B6 * IFERROR(VLOOKUP("transport|SO2|Asthma symptoms cough", US_national_yearly!$D:$AM, 15, FALSE) / VLOOKUP("transport|SO2|Asthma symptoms cough", US_national_yearly!$D:$AM, 10, FALSE), 1)</f>
        <v>2.9315131994688821E-3</v>
      </c>
      <c r="H6" s="7">
        <f>$B6 * IFERROR(VLOOKUP("transport|SO2|Asthma symptoms cough", US_national_yearly!$D:$AM, 16, FALSE) / VLOOKUP("transport|SO2|Asthma symptoms cough", US_national_yearly!$D:$AM, 10, FALSE), 1)</f>
        <v>2.9315131994688821E-3</v>
      </c>
      <c r="I6" s="7">
        <f>$B6 * IFERROR(VLOOKUP("transport|SO2|Asthma symptoms cough", US_national_yearly!$D:$AM, 17, FALSE) / VLOOKUP("transport|SO2|Asthma symptoms cough", US_national_yearly!$D:$AM, 10, FALSE), 1)</f>
        <v>2.9315131994688821E-3</v>
      </c>
      <c r="J6" s="7">
        <f>$B6 * IFERROR(VLOOKUP("transport|SO2|Asthma symptoms cough", US_national_yearly!$D:$AM, 18, FALSE) / VLOOKUP("transport|SO2|Asthma symptoms cough", US_national_yearly!$D:$AM, 10, FALSE), 1)</f>
        <v>2.9315131994688821E-3</v>
      </c>
      <c r="K6" s="7">
        <f>$B6 * IFERROR(VLOOKUP("transport|SO2|Asthma symptoms cough", US_national_yearly!$D:$AM, 19, FALSE) / VLOOKUP("transport|SO2|Asthma symptoms cough", US_national_yearly!$D:$AM, 10, FALSE), 1)</f>
        <v>2.9315131994688821E-3</v>
      </c>
      <c r="L6" s="7">
        <f>$B6 * IFERROR(VLOOKUP("transport|SO2|Asthma symptoms cough", US_national_yearly!$D:$AM, 20, FALSE) / VLOOKUP("transport|SO2|Asthma symptoms cough", US_national_yearly!$D:$AM, 10, FALSE), 1)</f>
        <v>2.9315131994688821E-3</v>
      </c>
      <c r="M6" s="7">
        <f>$B6 * IFERROR(VLOOKUP("transport|SO2|Asthma symptoms cough", US_national_yearly!$D:$AM, 21, FALSE) / VLOOKUP("transport|SO2|Asthma symptoms cough", US_national_yearly!$D:$AM, 10, FALSE), 1)</f>
        <v>2.9315131994688821E-3</v>
      </c>
      <c r="N6" s="7">
        <f>$B6 * IFERROR(VLOOKUP("transport|SO2|Asthma symptoms cough", US_national_yearly!$D:$AM, 22, FALSE) / VLOOKUP("transport|SO2|Asthma symptoms cough", US_national_yearly!$D:$AM, 10, FALSE), 1)</f>
        <v>2.9315131994688821E-3</v>
      </c>
      <c r="O6" s="7">
        <f>$B6 * IFERROR(VLOOKUP("transport|SO2|Asthma symptoms cough", US_national_yearly!$D:$AM, 23, FALSE) / VLOOKUP("transport|SO2|Asthma symptoms cough", US_national_yearly!$D:$AM, 10, FALSE), 1)</f>
        <v>2.9315131994688821E-3</v>
      </c>
      <c r="P6" s="7">
        <f>$B6 * IFERROR(VLOOKUP("transport|SO2|Asthma symptoms cough", US_national_yearly!$D:$AM, 24, FALSE) / VLOOKUP("transport|SO2|Asthma symptoms cough", US_national_yearly!$D:$AM, 10, FALSE), 1)</f>
        <v>2.9315131994688821E-3</v>
      </c>
      <c r="Q6" s="7">
        <f>$B6 * IFERROR(VLOOKUP("transport|SO2|Asthma symptoms cough", US_national_yearly!$D:$AM, 25, FALSE) / VLOOKUP("transport|SO2|Asthma symptoms cough", US_national_yearly!$D:$AM, 10, FALSE), 1)</f>
        <v>2.9315131994688821E-3</v>
      </c>
      <c r="R6" s="7">
        <f>$B6 * IFERROR(VLOOKUP("transport|SO2|Asthma symptoms cough", US_national_yearly!$D:$AM, 26, FALSE) / VLOOKUP("transport|SO2|Asthma symptoms cough", US_national_yearly!$D:$AM, 10, FALSE), 1)</f>
        <v>2.9315131994688821E-3</v>
      </c>
      <c r="S6" s="7">
        <f>$B6 * IFERROR(VLOOKUP("transport|SO2|Asthma symptoms cough", US_national_yearly!$D:$AM, 27, FALSE) / VLOOKUP("transport|SO2|Asthma symptoms cough", US_national_yearly!$D:$AM, 10, FALSE), 1)</f>
        <v>2.9315131994688821E-3</v>
      </c>
      <c r="T6" s="7">
        <f>$B6 * IFERROR(VLOOKUP("transport|SO2|Asthma symptoms cough", US_national_yearly!$D:$AM, 28, FALSE) / VLOOKUP("transport|SO2|Asthma symptoms cough", US_national_yearly!$D:$AM, 10, FALSE), 1)</f>
        <v>2.9315131994688821E-3</v>
      </c>
      <c r="U6" s="7">
        <f>$B6 * IFERROR(VLOOKUP("transport|SO2|Asthma symptoms cough", US_national_yearly!$D:$AM, 29, FALSE) / VLOOKUP("transport|SO2|Asthma symptoms cough", US_national_yearly!$D:$AM, 10, FALSE), 1)</f>
        <v>2.9315131994688821E-3</v>
      </c>
      <c r="V6" s="7">
        <f>$B6 * IFERROR(VLOOKUP("transport|SO2|Asthma symptoms cough", US_national_yearly!$D:$AM, 30, FALSE) / VLOOKUP("transport|SO2|Asthma symptoms cough", US_national_yearly!$D:$AM, 10, FALSE), 1)</f>
        <v>2.9315131994688821E-3</v>
      </c>
      <c r="W6" s="7">
        <f>$B6 * IFERROR(VLOOKUP("transport|SO2|Asthma symptoms cough", US_national_yearly!$D:$AM, 31, FALSE) / VLOOKUP("transport|SO2|Asthma symptoms cough", US_national_yearly!$D:$AM, 10, FALSE), 1)</f>
        <v>2.9315131994688821E-3</v>
      </c>
      <c r="X6" s="7">
        <f>$B6 * IFERROR(VLOOKUP("transport|SO2|Asthma symptoms cough", US_national_yearly!$D:$AM, 32, FALSE) / VLOOKUP("transport|SO2|Asthma symptoms cough", US_national_yearly!$D:$AM, 10, FALSE), 1)</f>
        <v>2.9315131994688821E-3</v>
      </c>
      <c r="Y6" s="7">
        <f>$B6 * IFERROR(VLOOKUP("transport|SO2|Asthma symptoms cough", US_national_yearly!$D:$AM, 33, FALSE) / VLOOKUP("transport|SO2|Asthma symptoms cough", US_national_yearly!$D:$AM, 10, FALSE), 1)</f>
        <v>2.9315131994688821E-3</v>
      </c>
      <c r="Z6" s="7">
        <f>$B6 * IFERROR(VLOOKUP("transport|SO2|Asthma symptoms cough", US_national_yearly!$D:$AM, 34, FALSE) / VLOOKUP("transport|SO2|Asthma symptoms cough", US_national_yearly!$D:$AM, 10, FALSE), 1)</f>
        <v>2.9315131994688821E-3</v>
      </c>
      <c r="AA6" s="7">
        <f>$B6 * IFERROR(VLOOKUP("transport|SO2|Asthma symptoms cough", US_national_yearly!$D:$AM, 35, FALSE) / VLOOKUP("transport|SO2|Asthma symptoms cough", US_national_yearly!$D:$AM, 10, FALSE), 1)</f>
        <v>2.9315131994688821E-3</v>
      </c>
      <c r="AB6" s="7">
        <f>$B6 * IFERROR(VLOOKUP("transport|SO2|Asthma symptoms cough", US_national_yearly!$D:$AM, 36, FALSE) / VLOOKUP("transport|SO2|Asthma symptoms cough", US_national_yearly!$D:$AM, 10, FALSE), 1)</f>
        <v>2.9315131994688821E-3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3.9477121625638885E-3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3.9477121625638885E-3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3.9477121625638885E-3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3.9477121625638885E-3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3.9477121625638885E-3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3.9477121625638885E-3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3.9477121625638885E-3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3.9477121625638885E-3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3.9477121625638885E-3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3.9477121625638885E-3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3.9477121625638885E-3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3.9477121625638885E-3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3.9477121625638885E-3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3.9477121625638885E-3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3.9477121625638885E-3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3.9477121625638885E-3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3.9477121625638885E-3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3.9477121625638885E-3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3.9477121625638885E-3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3.9477121625638885E-3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3.9477121625638885E-3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3.9477121625638885E-3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3.9477121625638885E-3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3.9477121625638885E-3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3.9477121625638885E-3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3.9477121625638885E-3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3.9477121625638885E-3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6.0314200775266709E-3</v>
      </c>
      <c r="C8" s="7">
        <f>$B8 * IFERROR(VLOOKUP("transport|SO2|Asthma symptoms wheeze", US_national_yearly!$D:$AM, 11, FALSE) / VLOOKUP("transport|SO2|Asthma symptoms wheeze", US_national_yearly!$D:$AM, 10, FALSE), 1)</f>
        <v>6.0314200775266709E-3</v>
      </c>
      <c r="D8" s="7">
        <f>$B8 * IFERROR(VLOOKUP("transport|SO2|Asthma symptoms wheeze", US_national_yearly!$D:$AM, 12, FALSE) / VLOOKUP("transport|SO2|Asthma symptoms wheeze", US_national_yearly!$D:$AM, 10, FALSE), 1)</f>
        <v>6.0314200775266709E-3</v>
      </c>
      <c r="E8" s="7">
        <f>$B8 * IFERROR(VLOOKUP("transport|SO2|Asthma symptoms wheeze", US_national_yearly!$D:$AM, 13, FALSE) / VLOOKUP("transport|SO2|Asthma symptoms wheeze", US_national_yearly!$D:$AM, 10, FALSE), 1)</f>
        <v>6.0314200775266709E-3</v>
      </c>
      <c r="F8" s="7">
        <f>$B8 * IFERROR(VLOOKUP("transport|SO2|Asthma symptoms wheeze", US_national_yearly!$D:$AM, 14, FALSE) / VLOOKUP("transport|SO2|Asthma symptoms wheeze", US_national_yearly!$D:$AM, 10, FALSE), 1)</f>
        <v>6.0314200775266709E-3</v>
      </c>
      <c r="G8" s="7">
        <f>$B8 * IFERROR(VLOOKUP("transport|SO2|Asthma symptoms wheeze", US_national_yearly!$D:$AM, 15, FALSE) / VLOOKUP("transport|SO2|Asthma symptoms wheeze", US_national_yearly!$D:$AM, 10, FALSE), 1)</f>
        <v>6.0314200775266709E-3</v>
      </c>
      <c r="H8" s="7">
        <f>$B8 * IFERROR(VLOOKUP("transport|SO2|Asthma symptoms wheeze", US_national_yearly!$D:$AM, 16, FALSE) / VLOOKUP("transport|SO2|Asthma symptoms wheeze", US_national_yearly!$D:$AM, 10, FALSE), 1)</f>
        <v>6.0314200775266709E-3</v>
      </c>
      <c r="I8" s="7">
        <f>$B8 * IFERROR(VLOOKUP("transport|SO2|Asthma symptoms wheeze", US_national_yearly!$D:$AM, 17, FALSE) / VLOOKUP("transport|SO2|Asthma symptoms wheeze", US_national_yearly!$D:$AM, 10, FALSE), 1)</f>
        <v>6.0314200775266709E-3</v>
      </c>
      <c r="J8" s="7">
        <f>$B8 * IFERROR(VLOOKUP("transport|SO2|Asthma symptoms wheeze", US_national_yearly!$D:$AM, 18, FALSE) / VLOOKUP("transport|SO2|Asthma symptoms wheeze", US_national_yearly!$D:$AM, 10, FALSE), 1)</f>
        <v>6.0314200775266709E-3</v>
      </c>
      <c r="K8" s="7">
        <f>$B8 * IFERROR(VLOOKUP("transport|SO2|Asthma symptoms wheeze", US_national_yearly!$D:$AM, 19, FALSE) / VLOOKUP("transport|SO2|Asthma symptoms wheeze", US_national_yearly!$D:$AM, 10, FALSE), 1)</f>
        <v>6.0314200775266709E-3</v>
      </c>
      <c r="L8" s="7">
        <f>$B8 * IFERROR(VLOOKUP("transport|SO2|Asthma symptoms wheeze", US_national_yearly!$D:$AM, 20, FALSE) / VLOOKUP("transport|SO2|Asthma symptoms wheeze", US_national_yearly!$D:$AM, 10, FALSE), 1)</f>
        <v>6.0314200775266709E-3</v>
      </c>
      <c r="M8" s="7">
        <f>$B8 * IFERROR(VLOOKUP("transport|SO2|Asthma symptoms wheeze", US_national_yearly!$D:$AM, 21, FALSE) / VLOOKUP("transport|SO2|Asthma symptoms wheeze", US_national_yearly!$D:$AM, 10, FALSE), 1)</f>
        <v>6.0314200775266709E-3</v>
      </c>
      <c r="N8" s="7">
        <f>$B8 * IFERROR(VLOOKUP("transport|SO2|Asthma symptoms wheeze", US_national_yearly!$D:$AM, 22, FALSE) / VLOOKUP("transport|SO2|Asthma symptoms wheeze", US_national_yearly!$D:$AM, 10, FALSE), 1)</f>
        <v>6.0314200775266709E-3</v>
      </c>
      <c r="O8" s="7">
        <f>$B8 * IFERROR(VLOOKUP("transport|SO2|Asthma symptoms wheeze", US_national_yearly!$D:$AM, 23, FALSE) / VLOOKUP("transport|SO2|Asthma symptoms wheeze", US_national_yearly!$D:$AM, 10, FALSE), 1)</f>
        <v>6.0314200775266709E-3</v>
      </c>
      <c r="P8" s="7">
        <f>$B8 * IFERROR(VLOOKUP("transport|SO2|Asthma symptoms wheeze", US_national_yearly!$D:$AM, 24, FALSE) / VLOOKUP("transport|SO2|Asthma symptoms wheeze", US_national_yearly!$D:$AM, 10, FALSE), 1)</f>
        <v>6.0314200775266709E-3</v>
      </c>
      <c r="Q8" s="7">
        <f>$B8 * IFERROR(VLOOKUP("transport|SO2|Asthma symptoms wheeze", US_national_yearly!$D:$AM, 25, FALSE) / VLOOKUP("transport|SO2|Asthma symptoms wheeze", US_national_yearly!$D:$AM, 10, FALSE), 1)</f>
        <v>6.0314200775266709E-3</v>
      </c>
      <c r="R8" s="7">
        <f>$B8 * IFERROR(VLOOKUP("transport|SO2|Asthma symptoms wheeze", US_national_yearly!$D:$AM, 26, FALSE) / VLOOKUP("transport|SO2|Asthma symptoms wheeze", US_national_yearly!$D:$AM, 10, FALSE), 1)</f>
        <v>6.0314200775266709E-3</v>
      </c>
      <c r="S8" s="7">
        <f>$B8 * IFERROR(VLOOKUP("transport|SO2|Asthma symptoms wheeze", US_national_yearly!$D:$AM, 27, FALSE) / VLOOKUP("transport|SO2|Asthma symptoms wheeze", US_national_yearly!$D:$AM, 10, FALSE), 1)</f>
        <v>6.0314200775266709E-3</v>
      </c>
      <c r="T8" s="7">
        <f>$B8 * IFERROR(VLOOKUP("transport|SO2|Asthma symptoms wheeze", US_national_yearly!$D:$AM, 28, FALSE) / VLOOKUP("transport|SO2|Asthma symptoms wheeze", US_national_yearly!$D:$AM, 10, FALSE), 1)</f>
        <v>6.0314200775266709E-3</v>
      </c>
      <c r="U8" s="7">
        <f>$B8 * IFERROR(VLOOKUP("transport|SO2|Asthma symptoms wheeze", US_national_yearly!$D:$AM, 29, FALSE) / VLOOKUP("transport|SO2|Asthma symptoms wheeze", US_national_yearly!$D:$AM, 10, FALSE), 1)</f>
        <v>6.0314200775266709E-3</v>
      </c>
      <c r="V8" s="7">
        <f>$B8 * IFERROR(VLOOKUP("transport|SO2|Asthma symptoms wheeze", US_national_yearly!$D:$AM, 30, FALSE) / VLOOKUP("transport|SO2|Asthma symptoms wheeze", US_national_yearly!$D:$AM, 10, FALSE), 1)</f>
        <v>6.0314200775266709E-3</v>
      </c>
      <c r="W8" s="7">
        <f>$B8 * IFERROR(VLOOKUP("transport|SO2|Asthma symptoms wheeze", US_national_yearly!$D:$AM, 31, FALSE) / VLOOKUP("transport|SO2|Asthma symptoms wheeze", US_national_yearly!$D:$AM, 10, FALSE), 1)</f>
        <v>6.0314200775266709E-3</v>
      </c>
      <c r="X8" s="7">
        <f>$B8 * IFERROR(VLOOKUP("transport|SO2|Asthma symptoms wheeze", US_national_yearly!$D:$AM, 32, FALSE) / VLOOKUP("transport|SO2|Asthma symptoms wheeze", US_national_yearly!$D:$AM, 10, FALSE), 1)</f>
        <v>6.0314200775266709E-3</v>
      </c>
      <c r="Y8" s="7">
        <f>$B8 * IFERROR(VLOOKUP("transport|SO2|Asthma symptoms wheeze", US_national_yearly!$D:$AM, 33, FALSE) / VLOOKUP("transport|SO2|Asthma symptoms wheeze", US_national_yearly!$D:$AM, 10, FALSE), 1)</f>
        <v>6.0314200775266709E-3</v>
      </c>
      <c r="Z8" s="7">
        <f>$B8 * IFERROR(VLOOKUP("transport|SO2|Asthma symptoms wheeze", US_national_yearly!$D:$AM, 34, FALSE) / VLOOKUP("transport|SO2|Asthma symptoms wheeze", US_national_yearly!$D:$AM, 10, FALSE), 1)</f>
        <v>6.0314200775266709E-3</v>
      </c>
      <c r="AA8" s="7">
        <f>$B8 * IFERROR(VLOOKUP("transport|SO2|Asthma symptoms wheeze", US_national_yearly!$D:$AM, 35, FALSE) / VLOOKUP("transport|SO2|Asthma symptoms wheeze", US_national_yearly!$D:$AM, 10, FALSE), 1)</f>
        <v>6.0314200775266709E-3</v>
      </c>
      <c r="AB8" s="7">
        <f>$B8 * IFERROR(VLOOKUP("transport|SO2|Asthma symptoms wheeze", US_national_yearly!$D:$AM, 36, FALSE) / VLOOKUP("transport|SO2|Asthma symptoms wheeze", US_national_yearly!$D:$AM, 10, FALSE), 1)</f>
        <v>6.0314200775266709E-3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6.8674140409961043E-5</v>
      </c>
      <c r="C12" s="7">
        <f>$B12 * IFERROR(VLOOKUP("transport|SO2|Respiratory hospital admissions", US_national_yearly!$D:$AM, 11, FALSE) / VLOOKUP("transport|SO2|Respiratory hospital admissions", US_national_yearly!$D:$AM, 10, FALSE), 1)</f>
        <v>6.9079183902853497E-5</v>
      </c>
      <c r="D12" s="7">
        <f>$B12 * IFERROR(VLOOKUP("transport|SO2|Respiratory hospital admissions", US_national_yearly!$D:$AM, 12, FALSE) / VLOOKUP("transport|SO2|Respiratory hospital admissions", US_national_yearly!$D:$AM, 10, FALSE), 1)</f>
        <v>6.9484227395745951E-5</v>
      </c>
      <c r="E12" s="7">
        <f>$B12 * IFERROR(VLOOKUP("transport|SO2|Respiratory hospital admissions", US_national_yearly!$D:$AM, 13, FALSE) / VLOOKUP("transport|SO2|Respiratory hospital admissions", US_national_yearly!$D:$AM, 10, FALSE), 1)</f>
        <v>6.9889270888638406E-5</v>
      </c>
      <c r="F12" s="7">
        <f>$B12 * IFERROR(VLOOKUP("transport|SO2|Respiratory hospital admissions", US_national_yearly!$D:$AM, 14, FALSE) / VLOOKUP("transport|SO2|Respiratory hospital admissions", US_national_yearly!$D:$AM, 10, FALSE), 1)</f>
        <v>7.029431438153086E-5</v>
      </c>
      <c r="G12" s="7">
        <f>$B12 * IFERROR(VLOOKUP("transport|SO2|Respiratory hospital admissions", US_national_yearly!$D:$AM, 15, FALSE) / VLOOKUP("transport|SO2|Respiratory hospital admissions", US_national_yearly!$D:$AM, 10, FALSE), 1)</f>
        <v>7.0735880107872492E-5</v>
      </c>
      <c r="H12" s="7">
        <f>$B12 * IFERROR(VLOOKUP("transport|SO2|Respiratory hospital admissions", US_national_yearly!$D:$AM, 16, FALSE) / VLOOKUP("transport|SO2|Respiratory hospital admissions", US_national_yearly!$D:$AM, 10, FALSE), 1)</f>
        <v>7.1177445834214124E-5</v>
      </c>
      <c r="I12" s="7">
        <f>$B12 * IFERROR(VLOOKUP("transport|SO2|Respiratory hospital admissions", US_national_yearly!$D:$AM, 17, FALSE) / VLOOKUP("transport|SO2|Respiratory hospital admissions", US_national_yearly!$D:$AM, 10, FALSE), 1)</f>
        <v>7.161288221502623E-5</v>
      </c>
      <c r="J12" s="7">
        <f>$B12 * IFERROR(VLOOKUP("transport|SO2|Respiratory hospital admissions", US_national_yearly!$D:$AM, 18, FALSE) / VLOOKUP("transport|SO2|Respiratory hospital admissions", US_national_yearly!$D:$AM, 10, FALSE), 1)</f>
        <v>7.2048318595838363E-5</v>
      </c>
      <c r="K12" s="7">
        <f>$B12 * IFERROR(VLOOKUP("transport|SO2|Respiratory hospital admissions", US_national_yearly!$D:$AM, 19, FALSE) / VLOOKUP("transport|SO2|Respiratory hospital admissions", US_national_yearly!$D:$AM, 10, FALSE), 1)</f>
        <v>7.2483754976650455E-5</v>
      </c>
      <c r="L12" s="7">
        <f>$B12 * IFERROR(VLOOKUP("transport|SO2|Respiratory hospital admissions", US_national_yearly!$D:$AM, 20, FALSE) / VLOOKUP("transport|SO2|Respiratory hospital admissions", US_national_yearly!$D:$AM, 10, FALSE), 1)</f>
        <v>7.2919191357462574E-5</v>
      </c>
      <c r="M12" s="7">
        <f>$B12 * IFERROR(VLOOKUP("transport|SO2|Respiratory hospital admissions", US_national_yearly!$D:$AM, 21, FALSE) / VLOOKUP("transport|SO2|Respiratory hospital admissions", US_national_yearly!$D:$AM, 10, FALSE), 1)</f>
        <v>7.3354627738274667E-5</v>
      </c>
      <c r="N12" s="7">
        <f>$B12 * IFERROR(VLOOKUP("transport|SO2|Respiratory hospital admissions", US_national_yearly!$D:$AM, 22, FALSE) / VLOOKUP("transport|SO2|Respiratory hospital admissions", US_national_yearly!$D:$AM, 10, FALSE), 1)</f>
        <v>7.3672482854957063E-5</v>
      </c>
      <c r="O12" s="7">
        <f>$B12 * IFERROR(VLOOKUP("transport|SO2|Respiratory hospital admissions", US_national_yearly!$D:$AM, 23, FALSE) / VLOOKUP("transport|SO2|Respiratory hospital admissions", US_national_yearly!$D:$AM, 10, FALSE), 1)</f>
        <v>7.3990337971639446E-5</v>
      </c>
      <c r="P12" s="7">
        <f>$B12 * IFERROR(VLOOKUP("transport|SO2|Respiratory hospital admissions", US_national_yearly!$D:$AM, 24, FALSE) / VLOOKUP("transport|SO2|Respiratory hospital admissions", US_national_yearly!$D:$AM, 10, FALSE), 1)</f>
        <v>7.4308193088321828E-5</v>
      </c>
      <c r="Q12" s="7">
        <f>$B12 * IFERROR(VLOOKUP("transport|SO2|Respiratory hospital admissions", US_national_yearly!$D:$AM, 25, FALSE) / VLOOKUP("transport|SO2|Respiratory hospital admissions", US_national_yearly!$D:$AM, 10, FALSE), 1)</f>
        <v>7.4626048205004224E-5</v>
      </c>
      <c r="R12" s="7">
        <f>$B12 * IFERROR(VLOOKUP("transport|SO2|Respiratory hospital admissions", US_national_yearly!$D:$AM, 26, FALSE) / VLOOKUP("transport|SO2|Respiratory hospital admissions", US_national_yearly!$D:$AM, 10, FALSE), 1)</f>
        <v>7.4943903321686607E-5</v>
      </c>
      <c r="S12" s="7">
        <f>$B12 * IFERROR(VLOOKUP("transport|SO2|Respiratory hospital admissions", US_national_yearly!$D:$AM, 27, FALSE) / VLOOKUP("transport|SO2|Respiratory hospital admissions", US_national_yearly!$D:$AM, 10, FALSE), 1)</f>
        <v>7.5247112849971833E-5</v>
      </c>
      <c r="T12" s="7">
        <f>$B12 * IFERROR(VLOOKUP("transport|SO2|Respiratory hospital admissions", US_national_yearly!$D:$AM, 28, FALSE) / VLOOKUP("transport|SO2|Respiratory hospital admissions", US_national_yearly!$D:$AM, 10, FALSE), 1)</f>
        <v>7.5550322378257044E-5</v>
      </c>
      <c r="U12" s="7">
        <f>$B12 * IFERROR(VLOOKUP("transport|SO2|Respiratory hospital admissions", US_national_yearly!$D:$AM, 29, FALSE) / VLOOKUP("transport|SO2|Respiratory hospital admissions", US_national_yearly!$D:$AM, 10, FALSE), 1)</f>
        <v>7.585353190654227E-5</v>
      </c>
      <c r="V12" s="7">
        <f>$B12 * IFERROR(VLOOKUP("transport|SO2|Respiratory hospital admissions", US_national_yearly!$D:$AM, 30, FALSE) / VLOOKUP("transport|SO2|Respiratory hospital admissions", US_national_yearly!$D:$AM, 10, FALSE), 1)</f>
        <v>7.6156741434827495E-5</v>
      </c>
      <c r="W12" s="7">
        <f>$B12 * IFERROR(VLOOKUP("transport|SO2|Respiratory hospital admissions", US_national_yearly!$D:$AM, 31, FALSE) / VLOOKUP("transport|SO2|Respiratory hospital admissions", US_national_yearly!$D:$AM, 10, FALSE), 1)</f>
        <v>7.645995096311272E-5</v>
      </c>
      <c r="X12" s="7">
        <f>$B12 * IFERROR(VLOOKUP("transport|SO2|Respiratory hospital admissions", US_national_yearly!$D:$AM, 32, FALSE) / VLOOKUP("transport|SO2|Respiratory hospital admissions", US_national_yearly!$D:$AM, 10, FALSE), 1)</f>
        <v>7.6747647024366826E-5</v>
      </c>
      <c r="Y12" s="7">
        <f>$B12 * IFERROR(VLOOKUP("transport|SO2|Respiratory hospital admissions", US_national_yearly!$D:$AM, 33, FALSE) / VLOOKUP("transport|SO2|Respiratory hospital admissions", US_national_yearly!$D:$AM, 10, FALSE), 1)</f>
        <v>7.7035343085620918E-5</v>
      </c>
      <c r="Z12" s="7">
        <f>$B12 * IFERROR(VLOOKUP("transport|SO2|Respiratory hospital admissions", US_national_yearly!$D:$AM, 34, FALSE) / VLOOKUP("transport|SO2|Respiratory hospital admissions", US_national_yearly!$D:$AM, 10, FALSE), 1)</f>
        <v>7.732303914687501E-5</v>
      </c>
      <c r="AA12" s="7">
        <f>$B12 * IFERROR(VLOOKUP("transport|SO2|Respiratory hospital admissions", US_national_yearly!$D:$AM, 35, FALSE) / VLOOKUP("transport|SO2|Respiratory hospital admissions", US_national_yearly!$D:$AM, 10, FALSE), 1)</f>
        <v>7.7610735208129102E-5</v>
      </c>
      <c r="AB12" s="7">
        <f>$B12 * IFERROR(VLOOKUP("transport|SO2|Respiratory hospital admissions", US_national_yearly!$D:$AM, 36, FALSE) / VLOOKUP("transport|SO2|Respiratory hospital admissions", US_national_yearly!$D:$AM, 10, FALSE), 1)</f>
        <v>7.7898431269383207E-5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4.1937490269440997E-4</v>
      </c>
      <c r="C13" s="7">
        <f>$B13 * IFERROR(VLOOKUP("transport|SO2|Non-fatal heart attacks", US_national_yearly!$D:$AM, 11, FALSE) / VLOOKUP("transport|SO2|Non-fatal heart attacks", US_national_yearly!$D:$AM, 10, FALSE), 1)</f>
        <v>4.3168622658435011E-4</v>
      </c>
      <c r="D13" s="7">
        <f>$B13 * IFERROR(VLOOKUP("transport|SO2|Non-fatal heart attacks", US_national_yearly!$D:$AM, 12, FALSE) / VLOOKUP("transport|SO2|Non-fatal heart attacks", US_national_yearly!$D:$AM, 10, FALSE), 1)</f>
        <v>4.4399755047429024E-4</v>
      </c>
      <c r="E13" s="7">
        <f>$B13 * IFERROR(VLOOKUP("transport|SO2|Non-fatal heart attacks", US_national_yearly!$D:$AM, 13, FALSE) / VLOOKUP("transport|SO2|Non-fatal heart attacks", US_national_yearly!$D:$AM, 10, FALSE), 1)</f>
        <v>4.5630887436423043E-4</v>
      </c>
      <c r="F13" s="7">
        <f>$B13 * IFERROR(VLOOKUP("transport|SO2|Non-fatal heart attacks", US_national_yearly!$D:$AM, 14, FALSE) / VLOOKUP("transport|SO2|Non-fatal heart attacks", US_national_yearly!$D:$AM, 10, FALSE), 1)</f>
        <v>4.6862019825417045E-4</v>
      </c>
      <c r="G13" s="7">
        <f>$B13 * IFERROR(VLOOKUP("transport|SO2|Non-fatal heart attacks", US_national_yearly!$D:$AM, 15, FALSE) / VLOOKUP("transport|SO2|Non-fatal heart attacks", US_national_yearly!$D:$AM, 10, FALSE), 1)</f>
        <v>4.8023091862743606E-4</v>
      </c>
      <c r="H13" s="7">
        <f>$B13 * IFERROR(VLOOKUP("transport|SO2|Non-fatal heart attacks", US_national_yearly!$D:$AM, 16, FALSE) / VLOOKUP("transport|SO2|Non-fatal heart attacks", US_national_yearly!$D:$AM, 10, FALSE), 1)</f>
        <v>4.9184163900070166E-4</v>
      </c>
      <c r="I13" s="7">
        <f>$B13 * IFERROR(VLOOKUP("transport|SO2|Non-fatal heart attacks", US_national_yearly!$D:$AM, 17, FALSE) / VLOOKUP("transport|SO2|Non-fatal heart attacks", US_national_yearly!$D:$AM, 10, FALSE), 1)</f>
        <v>5.011846291086803E-4</v>
      </c>
      <c r="J13" s="7">
        <f>$B13 * IFERROR(VLOOKUP("transport|SO2|Non-fatal heart attacks", US_national_yearly!$D:$AM, 18, FALSE) / VLOOKUP("transport|SO2|Non-fatal heart attacks", US_national_yearly!$D:$AM, 10, FALSE), 1)</f>
        <v>5.1052761921665916E-4</v>
      </c>
      <c r="K13" s="7">
        <f>$B13 * IFERROR(VLOOKUP("transport|SO2|Non-fatal heart attacks", US_national_yearly!$D:$AM, 19, FALSE) / VLOOKUP("transport|SO2|Non-fatal heart attacks", US_national_yearly!$D:$AM, 10, FALSE), 1)</f>
        <v>5.1987060932463781E-4</v>
      </c>
      <c r="L13" s="7">
        <f>$B13 * IFERROR(VLOOKUP("transport|SO2|Non-fatal heart attacks", US_national_yearly!$D:$AM, 20, FALSE) / VLOOKUP("transport|SO2|Non-fatal heart attacks", US_national_yearly!$D:$AM, 10, FALSE), 1)</f>
        <v>5.2921359943261667E-4</v>
      </c>
      <c r="M13" s="7">
        <f>$B13 * IFERROR(VLOOKUP("transport|SO2|Non-fatal heart attacks", US_national_yearly!$D:$AM, 21, FALSE) / VLOOKUP("transport|SO2|Non-fatal heart attacks", US_national_yearly!$D:$AM, 10, FALSE), 1)</f>
        <v>5.3855658954059553E-4</v>
      </c>
      <c r="N13" s="7">
        <f>$B13 * IFERROR(VLOOKUP("transport|SO2|Non-fatal heart attacks", US_national_yearly!$D:$AM, 22, FALSE) / VLOOKUP("transport|SO2|Non-fatal heart attacks", US_national_yearly!$D:$AM, 10, FALSE), 1)</f>
        <v>5.4462310589600263E-4</v>
      </c>
      <c r="O13" s="7">
        <f>$B13 * IFERROR(VLOOKUP("transport|SO2|Non-fatal heart attacks", US_national_yearly!$D:$AM, 23, FALSE) / VLOOKUP("transport|SO2|Non-fatal heart attacks", US_national_yearly!$D:$AM, 10, FALSE), 1)</f>
        <v>5.5068962225140994E-4</v>
      </c>
      <c r="P13" s="7">
        <f>$B13 * IFERROR(VLOOKUP("transport|SO2|Non-fatal heart attacks", US_national_yearly!$D:$AM, 24, FALSE) / VLOOKUP("transport|SO2|Non-fatal heart attacks", US_national_yearly!$D:$AM, 10, FALSE), 1)</f>
        <v>5.5675613860681726E-4</v>
      </c>
      <c r="Q13" s="7">
        <f>$B13 * IFERROR(VLOOKUP("transport|SO2|Non-fatal heart attacks", US_national_yearly!$D:$AM, 25, FALSE) / VLOOKUP("transport|SO2|Non-fatal heart attacks", US_national_yearly!$D:$AM, 10, FALSE), 1)</f>
        <v>5.6282265496222447E-4</v>
      </c>
      <c r="R13" s="7">
        <f>$B13 * IFERROR(VLOOKUP("transport|SO2|Non-fatal heart attacks", US_national_yearly!$D:$AM, 26, FALSE) / VLOOKUP("transport|SO2|Non-fatal heart attacks", US_national_yearly!$D:$AM, 10, FALSE), 1)</f>
        <v>5.6888917131763179E-4</v>
      </c>
      <c r="S13" s="7">
        <f>$B13 * IFERROR(VLOOKUP("transport|SO2|Non-fatal heart attacks", US_national_yearly!$D:$AM, 27, FALSE) / VLOOKUP("transport|SO2|Non-fatal heart attacks", US_national_yearly!$D:$AM, 10, FALSE), 1)</f>
        <v>5.7205646538391515E-4</v>
      </c>
      <c r="T13" s="7">
        <f>$B13 * IFERROR(VLOOKUP("transport|SO2|Non-fatal heart attacks", US_national_yearly!$D:$AM, 28, FALSE) / VLOOKUP("transport|SO2|Non-fatal heart attacks", US_national_yearly!$D:$AM, 10, FALSE), 1)</f>
        <v>5.7522375945019862E-4</v>
      </c>
      <c r="U13" s="7">
        <f>$B13 * IFERROR(VLOOKUP("transport|SO2|Non-fatal heart attacks", US_national_yearly!$D:$AM, 29, FALSE) / VLOOKUP("transport|SO2|Non-fatal heart attacks", US_national_yearly!$D:$AM, 10, FALSE), 1)</f>
        <v>5.7839105351648187E-4</v>
      </c>
      <c r="V13" s="7">
        <f>$B13 * IFERROR(VLOOKUP("transport|SO2|Non-fatal heart attacks", US_national_yearly!$D:$AM, 30, FALSE) / VLOOKUP("transport|SO2|Non-fatal heart attacks", US_national_yearly!$D:$AM, 10, FALSE), 1)</f>
        <v>5.8155834758276523E-4</v>
      </c>
      <c r="W13" s="7">
        <f>$B13 * IFERROR(VLOOKUP("transport|SO2|Non-fatal heart attacks", US_national_yearly!$D:$AM, 31, FALSE) / VLOOKUP("transport|SO2|Non-fatal heart attacks", US_national_yearly!$D:$AM, 10, FALSE), 1)</f>
        <v>5.847256416490487E-4</v>
      </c>
      <c r="X13" s="7">
        <f>$B13 * IFERROR(VLOOKUP("transport|SO2|Non-fatal heart attacks", US_national_yearly!$D:$AM, 32, FALSE) / VLOOKUP("transport|SO2|Non-fatal heart attacks", US_national_yearly!$D:$AM, 10, FALSE), 1)</f>
        <v>5.8711667161368279E-4</v>
      </c>
      <c r="Y13" s="7">
        <f>$B13 * IFERROR(VLOOKUP("transport|SO2|Non-fatal heart attacks", US_national_yearly!$D:$AM, 33, FALSE) / VLOOKUP("transport|SO2|Non-fatal heart attacks", US_national_yearly!$D:$AM, 10, FALSE), 1)</f>
        <v>5.89507701578317E-4</v>
      </c>
      <c r="Z13" s="7">
        <f>$B13 * IFERROR(VLOOKUP("transport|SO2|Non-fatal heart attacks", US_national_yearly!$D:$AM, 34, FALSE) / VLOOKUP("transport|SO2|Non-fatal heart attacks", US_national_yearly!$D:$AM, 10, FALSE), 1)</f>
        <v>5.918987315429511E-4</v>
      </c>
      <c r="AA13" s="7">
        <f>$B13 * IFERROR(VLOOKUP("transport|SO2|Non-fatal heart attacks", US_national_yearly!$D:$AM, 35, FALSE) / VLOOKUP("transport|SO2|Non-fatal heart attacks", US_national_yearly!$D:$AM, 10, FALSE), 1)</f>
        <v>5.942897615075853E-4</v>
      </c>
      <c r="AB13" s="7">
        <f>$B13 * IFERROR(VLOOKUP("transport|SO2|Non-fatal heart attacks", US_national_yearly!$D:$AM, 36, FALSE) / VLOOKUP("transport|SO2|Non-fatal heart attacks", US_national_yearly!$D:$AM, 10, FALSE), 1)</f>
        <v>5.966807914722194E-4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0.33724818537858675</v>
      </c>
      <c r="C14" s="7">
        <f>$B14 * IFERROR(VLOOKUP("transport|SO2|Minor restricted activity days", US_national_yearly!$D:$AM, 11, FALSE) / VLOOKUP("transport|SO2|Minor restricted activity days", US_national_yearly!$D:$AM, 10, FALSE), 1)</f>
        <v>0.33809827568542006</v>
      </c>
      <c r="D14" s="7">
        <f>$B14 * IFERROR(VLOOKUP("transport|SO2|Minor restricted activity days", US_national_yearly!$D:$AM, 12, FALSE) / VLOOKUP("transport|SO2|Minor restricted activity days", US_national_yearly!$D:$AM, 10, FALSE), 1)</f>
        <v>0.33894836599225331</v>
      </c>
      <c r="E14" s="7">
        <f>$B14 * IFERROR(VLOOKUP("transport|SO2|Minor restricted activity days", US_national_yearly!$D:$AM, 13, FALSE) / VLOOKUP("transport|SO2|Minor restricted activity days", US_national_yearly!$D:$AM, 10, FALSE), 1)</f>
        <v>0.33979845629908662</v>
      </c>
      <c r="F14" s="7">
        <f>$B14 * IFERROR(VLOOKUP("transport|SO2|Minor restricted activity days", US_national_yearly!$D:$AM, 14, FALSE) / VLOOKUP("transport|SO2|Minor restricted activity days", US_national_yearly!$D:$AM, 10, FALSE), 1)</f>
        <v>0.34064854660591981</v>
      </c>
      <c r="G14" s="7">
        <f>$B14 * IFERROR(VLOOKUP("transport|SO2|Minor restricted activity days", US_national_yearly!$D:$AM, 15, FALSE) / VLOOKUP("transport|SO2|Minor restricted activity days", US_national_yearly!$D:$AM, 10, FALSE), 1)</f>
        <v>0.34189979602424031</v>
      </c>
      <c r="H14" s="7">
        <f>$B14 * IFERROR(VLOOKUP("transport|SO2|Minor restricted activity days", US_national_yearly!$D:$AM, 16, FALSE) / VLOOKUP("transport|SO2|Minor restricted activity days", US_national_yearly!$D:$AM, 10, FALSE), 1)</f>
        <v>0.34315104544256081</v>
      </c>
      <c r="I14" s="7">
        <f>$B14 * IFERROR(VLOOKUP("transport|SO2|Minor restricted activity days", US_national_yearly!$D:$AM, 17, FALSE) / VLOOKUP("transport|SO2|Minor restricted activity days", US_national_yearly!$D:$AM, 10, FALSE), 1)</f>
        <v>0.3452849346953959</v>
      </c>
      <c r="J14" s="7">
        <f>$B14 * IFERROR(VLOOKUP("transport|SO2|Minor restricted activity days", US_national_yearly!$D:$AM, 18, FALSE) / VLOOKUP("transport|SO2|Minor restricted activity days", US_national_yearly!$D:$AM, 10, FALSE), 1)</f>
        <v>0.34741882394823093</v>
      </c>
      <c r="K14" s="7">
        <f>$B14 * IFERROR(VLOOKUP("transport|SO2|Minor restricted activity days", US_national_yearly!$D:$AM, 19, FALSE) / VLOOKUP("transport|SO2|Minor restricted activity days", US_national_yearly!$D:$AM, 10, FALSE), 1)</f>
        <v>0.34955271320106607</v>
      </c>
      <c r="L14" s="7">
        <f>$B14 * IFERROR(VLOOKUP("transport|SO2|Minor restricted activity days", US_national_yearly!$D:$AM, 20, FALSE) / VLOOKUP("transport|SO2|Minor restricted activity days", US_national_yearly!$D:$AM, 10, FALSE), 1)</f>
        <v>0.3516866024539011</v>
      </c>
      <c r="M14" s="7">
        <f>$B14 * IFERROR(VLOOKUP("transport|SO2|Minor restricted activity days", US_national_yearly!$D:$AM, 21, FALSE) / VLOOKUP("transport|SO2|Minor restricted activity days", US_national_yearly!$D:$AM, 10, FALSE), 1)</f>
        <v>0.35382049170673613</v>
      </c>
      <c r="N14" s="7">
        <f>$B14 * IFERROR(VLOOKUP("transport|SO2|Minor restricted activity days", US_national_yearly!$D:$AM, 22, FALSE) / VLOOKUP("transport|SO2|Minor restricted activity days", US_national_yearly!$D:$AM, 10, FALSE), 1)</f>
        <v>0.35673930980292495</v>
      </c>
      <c r="O14" s="7">
        <f>$B14 * IFERROR(VLOOKUP("transport|SO2|Minor restricted activity days", US_national_yearly!$D:$AM, 23, FALSE) / VLOOKUP("transport|SO2|Minor restricted activity days", US_national_yearly!$D:$AM, 10, FALSE), 1)</f>
        <v>0.35965812789911383</v>
      </c>
      <c r="P14" s="7">
        <f>$B14 * IFERROR(VLOOKUP("transport|SO2|Minor restricted activity days", US_national_yearly!$D:$AM, 24, FALSE) / VLOOKUP("transport|SO2|Minor restricted activity days", US_national_yearly!$D:$AM, 10, FALSE), 1)</f>
        <v>0.36257694599530266</v>
      </c>
      <c r="Q14" s="7">
        <f>$B14 * IFERROR(VLOOKUP("transport|SO2|Minor restricted activity days", US_national_yearly!$D:$AM, 25, FALSE) / VLOOKUP("transport|SO2|Minor restricted activity days", US_national_yearly!$D:$AM, 10, FALSE), 1)</f>
        <v>0.36549576409149148</v>
      </c>
      <c r="R14" s="7">
        <f>$B14 * IFERROR(VLOOKUP("transport|SO2|Minor restricted activity days", US_national_yearly!$D:$AM, 26, FALSE) / VLOOKUP("transport|SO2|Minor restricted activity days", US_national_yearly!$D:$AM, 10, FALSE), 1)</f>
        <v>0.36841458218768031</v>
      </c>
      <c r="S14" s="7">
        <f>$B14 * IFERROR(VLOOKUP("transport|SO2|Minor restricted activity days", US_national_yearly!$D:$AM, 27, FALSE) / VLOOKUP("transport|SO2|Minor restricted activity days", US_national_yearly!$D:$AM, 10, FALSE), 1)</f>
        <v>0.37139060291292791</v>
      </c>
      <c r="T14" s="7">
        <f>$B14 * IFERROR(VLOOKUP("transport|SO2|Minor restricted activity days", US_national_yearly!$D:$AM, 28, FALSE) / VLOOKUP("transport|SO2|Minor restricted activity days", US_national_yearly!$D:$AM, 10, FALSE), 1)</f>
        <v>0.37436662363817547</v>
      </c>
      <c r="U14" s="7">
        <f>$B14 * IFERROR(VLOOKUP("transport|SO2|Minor restricted activity days", US_national_yearly!$D:$AM, 29, FALSE) / VLOOKUP("transport|SO2|Minor restricted activity days", US_national_yearly!$D:$AM, 10, FALSE), 1)</f>
        <v>0.37734264436342307</v>
      </c>
      <c r="V14" s="7">
        <f>$B14 * IFERROR(VLOOKUP("transport|SO2|Minor restricted activity days", US_national_yearly!$D:$AM, 30, FALSE) / VLOOKUP("transport|SO2|Minor restricted activity days", US_national_yearly!$D:$AM, 10, FALSE), 1)</f>
        <v>0.38031866508867068</v>
      </c>
      <c r="W14" s="7">
        <f>$B14 * IFERROR(VLOOKUP("transport|SO2|Minor restricted activity days", US_national_yearly!$D:$AM, 31, FALSE) / VLOOKUP("transport|SO2|Minor restricted activity days", US_national_yearly!$D:$AM, 10, FALSE), 1)</f>
        <v>0.38329468581391835</v>
      </c>
      <c r="X14" s="7">
        <f>$B14 * IFERROR(VLOOKUP("transport|SO2|Minor restricted activity days", US_national_yearly!$D:$AM, 32, FALSE) / VLOOKUP("transport|SO2|Minor restricted activity days", US_national_yearly!$D:$AM, 10, FALSE), 1)</f>
        <v>0.38591185888620438</v>
      </c>
      <c r="Y14" s="7">
        <f>$B14 * IFERROR(VLOOKUP("transport|SO2|Minor restricted activity days", US_national_yearly!$D:$AM, 33, FALSE) / VLOOKUP("transport|SO2|Minor restricted activity days", US_national_yearly!$D:$AM, 10, FALSE), 1)</f>
        <v>0.38852903195849048</v>
      </c>
      <c r="Z14" s="7">
        <f>$B14 * IFERROR(VLOOKUP("transport|SO2|Minor restricted activity days", US_national_yearly!$D:$AM, 34, FALSE) / VLOOKUP("transport|SO2|Minor restricted activity days", US_national_yearly!$D:$AM, 10, FALSE), 1)</f>
        <v>0.39114620503077657</v>
      </c>
      <c r="AA14" s="7">
        <f>$B14 * IFERROR(VLOOKUP("transport|SO2|Minor restricted activity days", US_national_yearly!$D:$AM, 35, FALSE) / VLOOKUP("transport|SO2|Minor restricted activity days", US_national_yearly!$D:$AM, 10, FALSE), 1)</f>
        <v>0.39376337810306261</v>
      </c>
      <c r="AB14" s="7">
        <f>$B14 * IFERROR(VLOOKUP("transport|SO2|Minor restricted activity days", US_national_yearly!$D:$AM, 36, FALSE) / VLOOKUP("transport|SO2|Minor restricted activity days", US_national_yearly!$D:$AM, 10, FALSE), 1)</f>
        <v>0.39638055117534876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5.7207669645840599E-2</v>
      </c>
      <c r="C15" s="7">
        <f>$B15 * IFERROR(VLOOKUP("transport|SO2|Work loss days", US_national_yearly!$D:$AM, 11, FALSE) / VLOOKUP("transport|SO2|Work loss days", US_national_yearly!$D:$AM, 10, FALSE), 1)</f>
        <v>5.7393013403138293E-2</v>
      </c>
      <c r="D15" s="7">
        <f>$B15 * IFERROR(VLOOKUP("transport|SO2|Work loss days", US_national_yearly!$D:$AM, 12, FALSE) / VLOOKUP("transport|SO2|Work loss days", US_national_yearly!$D:$AM, 10, FALSE), 1)</f>
        <v>5.7578357160435988E-2</v>
      </c>
      <c r="E15" s="7">
        <f>$B15 * IFERROR(VLOOKUP("transport|SO2|Work loss days", US_national_yearly!$D:$AM, 13, FALSE) / VLOOKUP("transport|SO2|Work loss days", US_national_yearly!$D:$AM, 10, FALSE), 1)</f>
        <v>5.7763700917733682E-2</v>
      </c>
      <c r="F15" s="7">
        <f>$B15 * IFERROR(VLOOKUP("transport|SO2|Work loss days", US_national_yearly!$D:$AM, 14, FALSE) / VLOOKUP("transport|SO2|Work loss days", US_national_yearly!$D:$AM, 10, FALSE), 1)</f>
        <v>5.7949044675031376E-2</v>
      </c>
      <c r="G15" s="7">
        <f>$B15 * IFERROR(VLOOKUP("transport|SO2|Work loss days", US_national_yearly!$D:$AM, 15, FALSE) / VLOOKUP("transport|SO2|Work loss days", US_national_yearly!$D:$AM, 10, FALSE), 1)</f>
        <v>5.8191218972199012E-2</v>
      </c>
      <c r="H15" s="7">
        <f>$B15 * IFERROR(VLOOKUP("transport|SO2|Work loss days", US_national_yearly!$D:$AM, 16, FALSE) / VLOOKUP("transport|SO2|Work loss days", US_national_yearly!$D:$AM, 10, FALSE), 1)</f>
        <v>5.843339326936664E-2</v>
      </c>
      <c r="I15" s="7">
        <f>$B15 * IFERROR(VLOOKUP("transport|SO2|Work loss days", US_national_yearly!$D:$AM, 17, FALSE) / VLOOKUP("transport|SO2|Work loss days", US_national_yearly!$D:$AM, 10, FALSE), 1)</f>
        <v>5.8787661756568882E-2</v>
      </c>
      <c r="J15" s="7">
        <f>$B15 * IFERROR(VLOOKUP("transport|SO2|Work loss days", US_national_yearly!$D:$AM, 18, FALSE) / VLOOKUP("transport|SO2|Work loss days", US_national_yearly!$D:$AM, 10, FALSE), 1)</f>
        <v>5.914193024377111E-2</v>
      </c>
      <c r="K15" s="7">
        <f>$B15 * IFERROR(VLOOKUP("transport|SO2|Work loss days", US_national_yearly!$D:$AM, 19, FALSE) / VLOOKUP("transport|SO2|Work loss days", US_national_yearly!$D:$AM, 10, FALSE), 1)</f>
        <v>5.9496198730973351E-2</v>
      </c>
      <c r="L15" s="7">
        <f>$B15 * IFERROR(VLOOKUP("transport|SO2|Work loss days", US_national_yearly!$D:$AM, 20, FALSE) / VLOOKUP("transport|SO2|Work loss days", US_national_yearly!$D:$AM, 10, FALSE), 1)</f>
        <v>5.9850467218175586E-2</v>
      </c>
      <c r="M15" s="7">
        <f>$B15 * IFERROR(VLOOKUP("transport|SO2|Work loss days", US_national_yearly!$D:$AM, 21, FALSE) / VLOOKUP("transport|SO2|Work loss days", US_national_yearly!$D:$AM, 10, FALSE), 1)</f>
        <v>6.0204735705377828E-2</v>
      </c>
      <c r="N15" s="7">
        <f>$B15 * IFERROR(VLOOKUP("transport|SO2|Work loss days", US_national_yearly!$D:$AM, 22, FALSE) / VLOOKUP("transport|SO2|Work loss days", US_national_yearly!$D:$AM, 10, FALSE), 1)</f>
        <v>6.0648930978916264E-2</v>
      </c>
      <c r="O15" s="7">
        <f>$B15 * IFERROR(VLOOKUP("transport|SO2|Work loss days", US_national_yearly!$D:$AM, 23, FALSE) / VLOOKUP("transport|SO2|Work loss days", US_national_yearly!$D:$AM, 10, FALSE), 1)</f>
        <v>6.1093126252454701E-2</v>
      </c>
      <c r="P15" s="7">
        <f>$B15 * IFERROR(VLOOKUP("transport|SO2|Work loss days", US_national_yearly!$D:$AM, 24, FALSE) / VLOOKUP("transport|SO2|Work loss days", US_national_yearly!$D:$AM, 10, FALSE), 1)</f>
        <v>6.1537321525993123E-2</v>
      </c>
      <c r="Q15" s="7">
        <f>$B15 * IFERROR(VLOOKUP("transport|SO2|Work loss days", US_national_yearly!$D:$AM, 25, FALSE) / VLOOKUP("transport|SO2|Work loss days", US_national_yearly!$D:$AM, 10, FALSE), 1)</f>
        <v>6.1981516799531559E-2</v>
      </c>
      <c r="R15" s="7">
        <f>$B15 * IFERROR(VLOOKUP("transport|SO2|Work loss days", US_national_yearly!$D:$AM, 26, FALSE) / VLOOKUP("transport|SO2|Work loss days", US_national_yearly!$D:$AM, 10, FALSE), 1)</f>
        <v>6.2425712073069996E-2</v>
      </c>
      <c r="S15" s="7">
        <f>$B15 * IFERROR(VLOOKUP("transport|SO2|Work loss days", US_national_yearly!$D:$AM, 27, FALSE) / VLOOKUP("transport|SO2|Work loss days", US_national_yearly!$D:$AM, 10, FALSE), 1)</f>
        <v>6.2922098826756076E-2</v>
      </c>
      <c r="T15" s="7">
        <f>$B15 * IFERROR(VLOOKUP("transport|SO2|Work loss days", US_national_yearly!$D:$AM, 28, FALSE) / VLOOKUP("transport|SO2|Work loss days", US_national_yearly!$D:$AM, 10, FALSE), 1)</f>
        <v>6.3418485580442177E-2</v>
      </c>
      <c r="U15" s="7">
        <f>$B15 * IFERROR(VLOOKUP("transport|SO2|Work loss days", US_national_yearly!$D:$AM, 29, FALSE) / VLOOKUP("transport|SO2|Work loss days", US_national_yearly!$D:$AM, 10, FALSE), 1)</f>
        <v>6.3914872334128264E-2</v>
      </c>
      <c r="V15" s="7">
        <f>$B15 * IFERROR(VLOOKUP("transport|SO2|Work loss days", US_national_yearly!$D:$AM, 30, FALSE) / VLOOKUP("transport|SO2|Work loss days", US_national_yearly!$D:$AM, 10, FALSE), 1)</f>
        <v>6.4411259087814351E-2</v>
      </c>
      <c r="W15" s="7">
        <f>$B15 * IFERROR(VLOOKUP("transport|SO2|Work loss days", US_national_yearly!$D:$AM, 31, FALSE) / VLOOKUP("transport|SO2|Work loss days", US_national_yearly!$D:$AM, 10, FALSE), 1)</f>
        <v>6.4907645841500453E-2</v>
      </c>
      <c r="X15" s="7">
        <f>$B15 * IFERROR(VLOOKUP("transport|SO2|Work loss days", US_national_yearly!$D:$AM, 32, FALSE) / VLOOKUP("transport|SO2|Work loss days", US_national_yearly!$D:$AM, 10, FALSE), 1)</f>
        <v>6.5353332726040519E-2</v>
      </c>
      <c r="Y15" s="7">
        <f>$B15 * IFERROR(VLOOKUP("transport|SO2|Work loss days", US_national_yearly!$D:$AM, 33, FALSE) / VLOOKUP("transport|SO2|Work loss days", US_national_yearly!$D:$AM, 10, FALSE), 1)</f>
        <v>6.5799019610580586E-2</v>
      </c>
      <c r="Z15" s="7">
        <f>$B15 * IFERROR(VLOOKUP("transport|SO2|Work loss days", US_national_yearly!$D:$AM, 34, FALSE) / VLOOKUP("transport|SO2|Work loss days", US_national_yearly!$D:$AM, 10, FALSE), 1)</f>
        <v>6.6244706495120667E-2</v>
      </c>
      <c r="AA15" s="7">
        <f>$B15 * IFERROR(VLOOKUP("transport|SO2|Work loss days", US_national_yearly!$D:$AM, 35, FALSE) / VLOOKUP("transport|SO2|Work loss days", US_national_yearly!$D:$AM, 10, FALSE), 1)</f>
        <v>6.6690393379660734E-2</v>
      </c>
      <c r="AB15" s="7">
        <f>$B15 * IFERROR(VLOOKUP("transport|SO2|Work loss days", US_national_yearly!$D:$AM, 36, FALSE) / VLOOKUP("transport|SO2|Work loss days", US_national_yearly!$D:$AM, 10, FALSE), 1)</f>
        <v>6.7136080264200815E-2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1.041139943011103E-4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1.0726280018517234E-4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1.104116060692344E-4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1.1356041195329644E-4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1.1670921783735851E-4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1.1972547446964888E-4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1.2274173110193927E-4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1.2532607441846871E-4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1.2791041773499814E-4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1.3049476105152759E-4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1.3307910436805701E-4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1.3566344768458643E-4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1.3739953770632057E-4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1.3913562772805471E-4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1.4087171774978882E-4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1.4260780777152295E-4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1.4434389779325709E-4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1.4525695753496423E-4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1.4617001727667138E-4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1.4708307701837855E-4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1.4799613676008569E-4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1.4890919650179286E-4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1.4952216368984986E-4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1.501351308779069E-4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1.5074809806596391E-4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1.5136106525402097E-4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1.5197403244207797E-4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6.8521741468024868E-3</v>
      </c>
      <c r="C2" s="7">
        <f>$B2 * IFERROR(VLOOKUP("electricity|PM25|Premature mortality", US_national_yearly!$D:$AM, 11, FALSE) / VLOOKUP("electricity|PM25|Premature mortality", US_national_yearly!$D:$AM, 10, FALSE), 1)</f>
        <v>6.9370468048054303E-3</v>
      </c>
      <c r="D2" s="7">
        <f>$B2 * IFERROR(VLOOKUP("electricity|PM25|Premature mortality", US_national_yearly!$D:$AM, 12, FALSE) / VLOOKUP("electricity|PM25|Premature mortality", US_national_yearly!$D:$AM, 10, FALSE), 1)</f>
        <v>7.0219194628083738E-3</v>
      </c>
      <c r="E2" s="7">
        <f>$B2 * IFERROR(VLOOKUP("electricity|PM25|Premature mortality", US_national_yearly!$D:$AM, 13, FALSE) / VLOOKUP("electricity|PM25|Premature mortality", US_national_yearly!$D:$AM, 10, FALSE), 1)</f>
        <v>7.1067921208113173E-3</v>
      </c>
      <c r="F2" s="7">
        <f>$B2 * IFERROR(VLOOKUP("electricity|PM25|Premature mortality", US_national_yearly!$D:$AM, 14, FALSE) / VLOOKUP("electricity|PM25|Premature mortality", US_national_yearly!$D:$AM, 10, FALSE), 1)</f>
        <v>7.1916647788142626E-3</v>
      </c>
      <c r="G2" s="7">
        <f>$B2 * IFERROR(VLOOKUP("electricity|PM25|Premature mortality", US_national_yearly!$D:$AM, 15, FALSE) / VLOOKUP("electricity|PM25|Premature mortality", US_national_yearly!$D:$AM, 10, FALSE), 1)</f>
        <v>7.3583591928021615E-3</v>
      </c>
      <c r="H2" s="7">
        <f>$B2 * IFERROR(VLOOKUP("electricity|PM25|Premature mortality", US_national_yearly!$D:$AM, 16, FALSE) / VLOOKUP("electricity|PM25|Premature mortality", US_national_yearly!$D:$AM, 10, FALSE), 1)</f>
        <v>7.5250536067900621E-3</v>
      </c>
      <c r="I2" s="7">
        <f>$B2 * IFERROR(VLOOKUP("electricity|PM25|Premature mortality", US_national_yearly!$D:$AM, 17, FALSE) / VLOOKUP("electricity|PM25|Premature mortality", US_national_yearly!$D:$AM, 10, FALSE), 1)</f>
        <v>7.6370569995130224E-3</v>
      </c>
      <c r="J2" s="7">
        <f>$B2 * IFERROR(VLOOKUP("electricity|PM25|Premature mortality", US_national_yearly!$D:$AM, 18, FALSE) / VLOOKUP("electricity|PM25|Premature mortality", US_national_yearly!$D:$AM, 10, FALSE), 1)</f>
        <v>7.7490603922359845E-3</v>
      </c>
      <c r="K2" s="7">
        <f>$B2 * IFERROR(VLOOKUP("electricity|PM25|Premature mortality", US_national_yearly!$D:$AM, 19, FALSE) / VLOOKUP("electricity|PM25|Premature mortality", US_national_yearly!$D:$AM, 10, FALSE), 1)</f>
        <v>7.8610637849589448E-3</v>
      </c>
      <c r="L2" s="7">
        <f>$B2 * IFERROR(VLOOKUP("electricity|PM25|Premature mortality", US_national_yearly!$D:$AM, 20, FALSE) / VLOOKUP("electricity|PM25|Premature mortality", US_national_yearly!$D:$AM, 10, FALSE), 1)</f>
        <v>7.973067177681906E-3</v>
      </c>
      <c r="M2" s="7">
        <f>$B2 * IFERROR(VLOOKUP("electricity|PM25|Premature mortality", US_national_yearly!$D:$AM, 21, FALSE) / VLOOKUP("electricity|PM25|Premature mortality", US_national_yearly!$D:$AM, 10, FALSE), 1)</f>
        <v>8.0850705704048672E-3</v>
      </c>
      <c r="N2" s="7">
        <f>$B2 * IFERROR(VLOOKUP("electricity|PM25|Premature mortality", US_national_yearly!$D:$AM, 22, FALSE) / VLOOKUP("electricity|PM25|Premature mortality", US_national_yearly!$D:$AM, 10, FALSE), 1)</f>
        <v>8.1743499550372516E-3</v>
      </c>
      <c r="O2" s="7">
        <f>$B2 * IFERROR(VLOOKUP("electricity|PM25|Premature mortality", US_national_yearly!$D:$AM, 23, FALSE) / VLOOKUP("electricity|PM25|Premature mortality", US_national_yearly!$D:$AM, 10, FALSE), 1)</f>
        <v>8.2636293396696342E-3</v>
      </c>
      <c r="P2" s="7">
        <f>$B2 * IFERROR(VLOOKUP("electricity|PM25|Premature mortality", US_national_yearly!$D:$AM, 24, FALSE) / VLOOKUP("electricity|PM25|Premature mortality", US_national_yearly!$D:$AM, 10, FALSE), 1)</f>
        <v>8.3529087243020203E-3</v>
      </c>
      <c r="Q2" s="7">
        <f>$B2 * IFERROR(VLOOKUP("electricity|PM25|Premature mortality", US_national_yearly!$D:$AM, 25, FALSE) / VLOOKUP("electricity|PM25|Premature mortality", US_national_yearly!$D:$AM, 10, FALSE), 1)</f>
        <v>8.4421881089344029E-3</v>
      </c>
      <c r="R2" s="7">
        <f>$B2 * IFERROR(VLOOKUP("electricity|PM25|Premature mortality", US_national_yearly!$D:$AM, 26, FALSE) / VLOOKUP("electricity|PM25|Premature mortality", US_national_yearly!$D:$AM, 10, FALSE), 1)</f>
        <v>8.531467493566789E-3</v>
      </c>
      <c r="S2" s="7">
        <f>$B2 * IFERROR(VLOOKUP("electricity|PM25|Premature mortality", US_national_yearly!$D:$AM, 27, FALSE) / VLOOKUP("electricity|PM25|Premature mortality", US_national_yearly!$D:$AM, 10, FALSE), 1)</f>
        <v>8.5825536359684564E-3</v>
      </c>
      <c r="T2" s="7">
        <f>$B2 * IFERROR(VLOOKUP("electricity|PM25|Premature mortality", US_national_yearly!$D:$AM, 28, FALSE) / VLOOKUP("electricity|PM25|Premature mortality", US_national_yearly!$D:$AM, 10, FALSE), 1)</f>
        <v>8.6336397783701221E-3</v>
      </c>
      <c r="U2" s="7">
        <f>$B2 * IFERROR(VLOOKUP("electricity|PM25|Premature mortality", US_national_yearly!$D:$AM, 29, FALSE) / VLOOKUP("electricity|PM25|Premature mortality", US_national_yearly!$D:$AM, 10, FALSE), 1)</f>
        <v>8.6847259207717912E-3</v>
      </c>
      <c r="V2" s="7">
        <f>$B2 * IFERROR(VLOOKUP("electricity|PM25|Premature mortality", US_national_yearly!$D:$AM, 30, FALSE) / VLOOKUP("electricity|PM25|Premature mortality", US_national_yearly!$D:$AM, 10, FALSE), 1)</f>
        <v>8.7358120631734568E-3</v>
      </c>
      <c r="W2" s="7">
        <f>$B2 * IFERROR(VLOOKUP("electricity|PM25|Premature mortality", US_national_yearly!$D:$AM, 31, FALSE) / VLOOKUP("electricity|PM25|Premature mortality", US_national_yearly!$D:$AM, 10, FALSE), 1)</f>
        <v>8.7868982055751242E-3</v>
      </c>
      <c r="X2" s="7">
        <f>$B2 * IFERROR(VLOOKUP("electricity|PM25|Premature mortality", US_national_yearly!$D:$AM, 32, FALSE) / VLOOKUP("electricity|PM25|Premature mortality", US_national_yearly!$D:$AM, 10, FALSE), 1)</f>
        <v>8.8010896056321154E-3</v>
      </c>
      <c r="Y2" s="7">
        <f>$B2 * IFERROR(VLOOKUP("electricity|PM25|Premature mortality", US_national_yearly!$D:$AM, 33, FALSE) / VLOOKUP("electricity|PM25|Premature mortality", US_national_yearly!$D:$AM, 10, FALSE), 1)</f>
        <v>8.8152810056891066E-3</v>
      </c>
      <c r="Z2" s="7">
        <f>$B2 * IFERROR(VLOOKUP("electricity|PM25|Premature mortality", US_national_yearly!$D:$AM, 34, FALSE) / VLOOKUP("electricity|PM25|Premature mortality", US_national_yearly!$D:$AM, 10, FALSE), 1)</f>
        <v>8.8294724057460996E-3</v>
      </c>
      <c r="AA2" s="7">
        <f>$B2 * IFERROR(VLOOKUP("electricity|PM25|Premature mortality", US_national_yearly!$D:$AM, 35, FALSE) / VLOOKUP("electricity|PM25|Premature mortality", US_national_yearly!$D:$AM, 10, FALSE), 1)</f>
        <v>8.8436638058030925E-3</v>
      </c>
      <c r="AB2" s="7">
        <f>$B2 * IFERROR(VLOOKUP("electricity|PM25|Premature mortality", US_national_yearly!$D:$AM, 36, FALSE) / VLOOKUP("electricity|PM25|Premature mortality", US_national_yearly!$D:$AM, 10, FALSE), 1)</f>
        <v>8.8578552058600855E-3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1.5853936833586071E-5</v>
      </c>
      <c r="C3" s="7">
        <f>$B3 * IFERROR(VLOOKUP("electricity|PM25|Infant mortality", US_national_yearly!$D:$AM, 11, FALSE) / VLOOKUP("electricity|PM25|Infant mortality", US_national_yearly!$D:$AM, 10, FALSE), 1)</f>
        <v>1.5715801521889378E-5</v>
      </c>
      <c r="D3" s="7">
        <f>$B3 * IFERROR(VLOOKUP("electricity|PM25|Infant mortality", US_national_yearly!$D:$AM, 12, FALSE) / VLOOKUP("electricity|PM25|Infant mortality", US_national_yearly!$D:$AM, 10, FALSE), 1)</f>
        <v>1.5577666210192685E-5</v>
      </c>
      <c r="E3" s="7">
        <f>$B3 * IFERROR(VLOOKUP("electricity|PM25|Infant mortality", US_national_yearly!$D:$AM, 13, FALSE) / VLOOKUP("electricity|PM25|Infant mortality", US_national_yearly!$D:$AM, 10, FALSE), 1)</f>
        <v>1.5439530898495991E-5</v>
      </c>
      <c r="F3" s="7">
        <f>$B3 * IFERROR(VLOOKUP("electricity|PM25|Infant mortality", US_national_yearly!$D:$AM, 14, FALSE) / VLOOKUP("electricity|PM25|Infant mortality", US_national_yearly!$D:$AM, 10, FALSE), 1)</f>
        <v>1.5301395586799298E-5</v>
      </c>
      <c r="G3" s="7">
        <f>$B3 * IFERROR(VLOOKUP("electricity|PM25|Infant mortality", US_national_yearly!$D:$AM, 15, FALSE) / VLOOKUP("electricity|PM25|Infant mortality", US_national_yearly!$D:$AM, 10, FALSE), 1)</f>
        <v>1.0147408632907074E-5</v>
      </c>
      <c r="H3" s="7">
        <f>$B3 * IFERROR(VLOOKUP("electricity|PM25|Infant mortality", US_national_yearly!$D:$AM, 16, FALSE) / VLOOKUP("electricity|PM25|Infant mortality", US_national_yearly!$D:$AM, 10, FALSE), 1)</f>
        <v>4.9934216790148518E-6</v>
      </c>
      <c r="I3" s="7">
        <f>$B3 * IFERROR(VLOOKUP("electricity|PM25|Infant mortality", US_national_yearly!$D:$AM, 17, FALSE) / VLOOKUP("electricity|PM25|Infant mortality", US_national_yearly!$D:$AM, 10, FALSE), 1)</f>
        <v>4.9581658338536731E-6</v>
      </c>
      <c r="J3" s="7">
        <f>$B3 * IFERROR(VLOOKUP("electricity|PM25|Infant mortality", US_national_yearly!$D:$AM, 18, FALSE) / VLOOKUP("electricity|PM25|Infant mortality", US_national_yearly!$D:$AM, 10, FALSE), 1)</f>
        <v>4.922909988692497E-6</v>
      </c>
      <c r="K3" s="7">
        <f>$B3 * IFERROR(VLOOKUP("electricity|PM25|Infant mortality", US_national_yearly!$D:$AM, 19, FALSE) / VLOOKUP("electricity|PM25|Infant mortality", US_national_yearly!$D:$AM, 10, FALSE), 1)</f>
        <v>4.8876541435313184E-6</v>
      </c>
      <c r="L3" s="7">
        <f>$B3 * IFERROR(VLOOKUP("electricity|PM25|Infant mortality", US_national_yearly!$D:$AM, 20, FALSE) / VLOOKUP("electricity|PM25|Infant mortality", US_national_yearly!$D:$AM, 10, FALSE), 1)</f>
        <v>4.8523982983701406E-6</v>
      </c>
      <c r="M3" s="7">
        <f>$B3 * IFERROR(VLOOKUP("electricity|PM25|Infant mortality", US_national_yearly!$D:$AM, 21, FALSE) / VLOOKUP("electricity|PM25|Infant mortality", US_national_yearly!$D:$AM, 10, FALSE), 1)</f>
        <v>4.8171424532089636E-6</v>
      </c>
      <c r="N3" s="7">
        <f>$B3 * IFERROR(VLOOKUP("electricity|PM25|Infant mortality", US_national_yearly!$D:$AM, 22, FALSE) / VLOOKUP("electricity|PM25|Infant mortality", US_national_yearly!$D:$AM, 10, FALSE), 1)</f>
        <v>4.7944682639330646E-6</v>
      </c>
      <c r="O3" s="7">
        <f>$B3 * IFERROR(VLOOKUP("electricity|PM25|Infant mortality", US_national_yearly!$D:$AM, 23, FALSE) / VLOOKUP("electricity|PM25|Infant mortality", US_national_yearly!$D:$AM, 10, FALSE), 1)</f>
        <v>4.7717940746571647E-6</v>
      </c>
      <c r="P3" s="7">
        <f>$B3 * IFERROR(VLOOKUP("electricity|PM25|Infant mortality", US_national_yearly!$D:$AM, 24, FALSE) / VLOOKUP("electricity|PM25|Infant mortality", US_national_yearly!$D:$AM, 10, FALSE), 1)</f>
        <v>4.7491198853812648E-6</v>
      </c>
      <c r="Q3" s="7">
        <f>$B3 * IFERROR(VLOOKUP("electricity|PM25|Infant mortality", US_national_yearly!$D:$AM, 25, FALSE) / VLOOKUP("electricity|PM25|Infant mortality", US_national_yearly!$D:$AM, 10, FALSE), 1)</f>
        <v>4.7264456961053657E-6</v>
      </c>
      <c r="R3" s="7">
        <f>$B3 * IFERROR(VLOOKUP("electricity|PM25|Infant mortality", US_national_yearly!$D:$AM, 26, FALSE) / VLOOKUP("electricity|PM25|Infant mortality", US_national_yearly!$D:$AM, 10, FALSE), 1)</f>
        <v>4.7037715068294659E-6</v>
      </c>
      <c r="S3" s="7">
        <f>$B3 * IFERROR(VLOOKUP("electricity|PM25|Infant mortality", US_national_yearly!$D:$AM, 27, FALSE) / VLOOKUP("electricity|PM25|Infant mortality", US_national_yearly!$D:$AM, 10, FALSE), 1)</f>
        <v>4.6766073213877793E-6</v>
      </c>
      <c r="T3" s="7">
        <f>$B3 * IFERROR(VLOOKUP("electricity|PM25|Infant mortality", US_national_yearly!$D:$AM, 28, FALSE) / VLOOKUP("electricity|PM25|Infant mortality", US_national_yearly!$D:$AM, 10, FALSE), 1)</f>
        <v>4.6494431359460928E-6</v>
      </c>
      <c r="U3" s="7">
        <f>$B3 * IFERROR(VLOOKUP("electricity|PM25|Infant mortality", US_national_yearly!$D:$AM, 29, FALSE) / VLOOKUP("electricity|PM25|Infant mortality", US_national_yearly!$D:$AM, 10, FALSE), 1)</f>
        <v>4.6222789505044071E-6</v>
      </c>
      <c r="V3" s="7">
        <f>$B3 * IFERROR(VLOOKUP("electricity|PM25|Infant mortality", US_national_yearly!$D:$AM, 30, FALSE) / VLOOKUP("electricity|PM25|Infant mortality", US_national_yearly!$D:$AM, 10, FALSE), 1)</f>
        <v>4.5951147650627198E-6</v>
      </c>
      <c r="W3" s="7">
        <f>$B3 * IFERROR(VLOOKUP("electricity|PM25|Infant mortality", US_national_yearly!$D:$AM, 31, FALSE) / VLOOKUP("electricity|PM25|Infant mortality", US_national_yearly!$D:$AM, 10, FALSE), 1)</f>
        <v>4.5679505796210332E-6</v>
      </c>
      <c r="X3" s="7">
        <f>$B3 * IFERROR(VLOOKUP("electricity|PM25|Infant mortality", US_national_yearly!$D:$AM, 32, FALSE) / VLOOKUP("electricity|PM25|Infant mortality", US_national_yearly!$D:$AM, 10, FALSE), 1)</f>
        <v>4.5398797855706277E-6</v>
      </c>
      <c r="Y3" s="7">
        <f>$B3 * IFERROR(VLOOKUP("electricity|PM25|Infant mortality", US_national_yearly!$D:$AM, 33, FALSE) / VLOOKUP("electricity|PM25|Infant mortality", US_national_yearly!$D:$AM, 10, FALSE), 1)</f>
        <v>4.5118089915202221E-6</v>
      </c>
      <c r="Z3" s="7">
        <f>$B3 * IFERROR(VLOOKUP("electricity|PM25|Infant mortality", US_national_yearly!$D:$AM, 34, FALSE) / VLOOKUP("electricity|PM25|Infant mortality", US_national_yearly!$D:$AM, 10, FALSE), 1)</f>
        <v>4.4837381974698165E-6</v>
      </c>
      <c r="AA3" s="7">
        <f>$B3 * IFERROR(VLOOKUP("electricity|PM25|Infant mortality", US_national_yearly!$D:$AM, 35, FALSE) / VLOOKUP("electricity|PM25|Infant mortality", US_national_yearly!$D:$AM, 10, FALSE), 1)</f>
        <v>4.4556674034194109E-6</v>
      </c>
      <c r="AB3" s="7">
        <f>$B3 * IFERROR(VLOOKUP("electricity|PM25|Infant mortality", US_national_yearly!$D:$AM, 36, FALSE) / VLOOKUP("electricity|PM25|Infant mortality", US_national_yearly!$D:$AM, 10, FALSE), 1)</f>
        <v>4.4275966093690053E-6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1.8147921208750264E-2</v>
      </c>
      <c r="C6" s="7">
        <f>$B6 * IFERROR(VLOOKUP("electricity|PM25|Asthma symptoms cough", US_national_yearly!$D:$AM, 11, FALSE) / VLOOKUP("electricity|PM25|Asthma symptoms cough", US_national_yearly!$D:$AM, 10, FALSE), 1)</f>
        <v>1.8147921208750264E-2</v>
      </c>
      <c r="D6" s="7">
        <f>$B6 * IFERROR(VLOOKUP("electricity|PM25|Asthma symptoms cough", US_national_yearly!$D:$AM, 12, FALSE) / VLOOKUP("electricity|PM25|Asthma symptoms cough", US_national_yearly!$D:$AM, 10, FALSE), 1)</f>
        <v>1.8147921208750264E-2</v>
      </c>
      <c r="E6" s="7">
        <f>$B6 * IFERROR(VLOOKUP("electricity|PM25|Asthma symptoms cough", US_national_yearly!$D:$AM, 13, FALSE) / VLOOKUP("electricity|PM25|Asthma symptoms cough", US_national_yearly!$D:$AM, 10, FALSE), 1)</f>
        <v>1.8147921208750264E-2</v>
      </c>
      <c r="F6" s="7">
        <f>$B6 * IFERROR(VLOOKUP("electricity|PM25|Asthma symptoms cough", US_national_yearly!$D:$AM, 14, FALSE) / VLOOKUP("electricity|PM25|Asthma symptoms cough", US_national_yearly!$D:$AM, 10, FALSE), 1)</f>
        <v>1.8147921208750264E-2</v>
      </c>
      <c r="G6" s="7">
        <f>$B6 * IFERROR(VLOOKUP("electricity|PM25|Asthma symptoms cough", US_national_yearly!$D:$AM, 15, FALSE) / VLOOKUP("electricity|PM25|Asthma symptoms cough", US_national_yearly!$D:$AM, 10, FALSE), 1)</f>
        <v>1.8147921208750264E-2</v>
      </c>
      <c r="H6" s="7">
        <f>$B6 * IFERROR(VLOOKUP("electricity|PM25|Asthma symptoms cough", US_national_yearly!$D:$AM, 16, FALSE) / VLOOKUP("electricity|PM25|Asthma symptoms cough", US_national_yearly!$D:$AM, 10, FALSE), 1)</f>
        <v>1.8147921208750264E-2</v>
      </c>
      <c r="I6" s="7">
        <f>$B6 * IFERROR(VLOOKUP("electricity|PM25|Asthma symptoms cough", US_national_yearly!$D:$AM, 17, FALSE) / VLOOKUP("electricity|PM25|Asthma symptoms cough", US_national_yearly!$D:$AM, 10, FALSE), 1)</f>
        <v>1.8147921208750264E-2</v>
      </c>
      <c r="J6" s="7">
        <f>$B6 * IFERROR(VLOOKUP("electricity|PM25|Asthma symptoms cough", US_national_yearly!$D:$AM, 18, FALSE) / VLOOKUP("electricity|PM25|Asthma symptoms cough", US_national_yearly!$D:$AM, 10, FALSE), 1)</f>
        <v>1.8147921208750264E-2</v>
      </c>
      <c r="K6" s="7">
        <f>$B6 * IFERROR(VLOOKUP("electricity|PM25|Asthma symptoms cough", US_national_yearly!$D:$AM, 19, FALSE) / VLOOKUP("electricity|PM25|Asthma symptoms cough", US_national_yearly!$D:$AM, 10, FALSE), 1)</f>
        <v>1.8147921208750264E-2</v>
      </c>
      <c r="L6" s="7">
        <f>$B6 * IFERROR(VLOOKUP("electricity|PM25|Asthma symptoms cough", US_national_yearly!$D:$AM, 20, FALSE) / VLOOKUP("electricity|PM25|Asthma symptoms cough", US_national_yearly!$D:$AM, 10, FALSE), 1)</f>
        <v>1.8147921208750264E-2</v>
      </c>
      <c r="M6" s="7">
        <f>$B6 * IFERROR(VLOOKUP("electricity|PM25|Asthma symptoms cough", US_national_yearly!$D:$AM, 21, FALSE) / VLOOKUP("electricity|PM25|Asthma symptoms cough", US_national_yearly!$D:$AM, 10, FALSE), 1)</f>
        <v>1.8147921208750264E-2</v>
      </c>
      <c r="N6" s="7">
        <f>$B6 * IFERROR(VLOOKUP("electricity|PM25|Asthma symptoms cough", US_national_yearly!$D:$AM, 22, FALSE) / VLOOKUP("electricity|PM25|Asthma symptoms cough", US_national_yearly!$D:$AM, 10, FALSE), 1)</f>
        <v>1.8147921208750264E-2</v>
      </c>
      <c r="O6" s="7">
        <f>$B6 * IFERROR(VLOOKUP("electricity|PM25|Asthma symptoms cough", US_national_yearly!$D:$AM, 23, FALSE) / VLOOKUP("electricity|PM25|Asthma symptoms cough", US_national_yearly!$D:$AM, 10, FALSE), 1)</f>
        <v>1.8147921208750264E-2</v>
      </c>
      <c r="P6" s="7">
        <f>$B6 * IFERROR(VLOOKUP("electricity|PM25|Asthma symptoms cough", US_national_yearly!$D:$AM, 24, FALSE) / VLOOKUP("electricity|PM25|Asthma symptoms cough", US_national_yearly!$D:$AM, 10, FALSE), 1)</f>
        <v>1.8147921208750264E-2</v>
      </c>
      <c r="Q6" s="7">
        <f>$B6 * IFERROR(VLOOKUP("electricity|PM25|Asthma symptoms cough", US_national_yearly!$D:$AM, 25, FALSE) / VLOOKUP("electricity|PM25|Asthma symptoms cough", US_national_yearly!$D:$AM, 10, FALSE), 1)</f>
        <v>1.8147921208750264E-2</v>
      </c>
      <c r="R6" s="7">
        <f>$B6 * IFERROR(VLOOKUP("electricity|PM25|Asthma symptoms cough", US_national_yearly!$D:$AM, 26, FALSE) / VLOOKUP("electricity|PM25|Asthma symptoms cough", US_national_yearly!$D:$AM, 10, FALSE), 1)</f>
        <v>1.8147921208750264E-2</v>
      </c>
      <c r="S6" s="7">
        <f>$B6 * IFERROR(VLOOKUP("electricity|PM25|Asthma symptoms cough", US_national_yearly!$D:$AM, 27, FALSE) / VLOOKUP("electricity|PM25|Asthma symptoms cough", US_national_yearly!$D:$AM, 10, FALSE), 1)</f>
        <v>1.8147921208750264E-2</v>
      </c>
      <c r="T6" s="7">
        <f>$B6 * IFERROR(VLOOKUP("electricity|PM25|Asthma symptoms cough", US_national_yearly!$D:$AM, 28, FALSE) / VLOOKUP("electricity|PM25|Asthma symptoms cough", US_national_yearly!$D:$AM, 10, FALSE), 1)</f>
        <v>1.8147921208750264E-2</v>
      </c>
      <c r="U6" s="7">
        <f>$B6 * IFERROR(VLOOKUP("electricity|PM25|Asthma symptoms cough", US_national_yearly!$D:$AM, 29, FALSE) / VLOOKUP("electricity|PM25|Asthma symptoms cough", US_national_yearly!$D:$AM, 10, FALSE), 1)</f>
        <v>1.8147921208750264E-2</v>
      </c>
      <c r="V6" s="7">
        <f>$B6 * IFERROR(VLOOKUP("electricity|PM25|Asthma symptoms cough", US_national_yearly!$D:$AM, 30, FALSE) / VLOOKUP("electricity|PM25|Asthma symptoms cough", US_national_yearly!$D:$AM, 10, FALSE), 1)</f>
        <v>1.8147921208750264E-2</v>
      </c>
      <c r="W6" s="7">
        <f>$B6 * IFERROR(VLOOKUP("electricity|PM25|Asthma symptoms cough", US_national_yearly!$D:$AM, 31, FALSE) / VLOOKUP("electricity|PM25|Asthma symptoms cough", US_national_yearly!$D:$AM, 10, FALSE), 1)</f>
        <v>1.8147921208750264E-2</v>
      </c>
      <c r="X6" s="7">
        <f>$B6 * IFERROR(VLOOKUP("electricity|PM25|Asthma symptoms cough", US_national_yearly!$D:$AM, 32, FALSE) / VLOOKUP("electricity|PM25|Asthma symptoms cough", US_national_yearly!$D:$AM, 10, FALSE), 1)</f>
        <v>1.8147921208750264E-2</v>
      </c>
      <c r="Y6" s="7">
        <f>$B6 * IFERROR(VLOOKUP("electricity|PM25|Asthma symptoms cough", US_national_yearly!$D:$AM, 33, FALSE) / VLOOKUP("electricity|PM25|Asthma symptoms cough", US_national_yearly!$D:$AM, 10, FALSE), 1)</f>
        <v>1.8147921208750264E-2</v>
      </c>
      <c r="Z6" s="7">
        <f>$B6 * IFERROR(VLOOKUP("electricity|PM25|Asthma symptoms cough", US_national_yearly!$D:$AM, 34, FALSE) / VLOOKUP("electricity|PM25|Asthma symptoms cough", US_national_yearly!$D:$AM, 10, FALSE), 1)</f>
        <v>1.8147921208750264E-2</v>
      </c>
      <c r="AA6" s="7">
        <f>$B6 * IFERROR(VLOOKUP("electricity|PM25|Asthma symptoms cough", US_national_yearly!$D:$AM, 35, FALSE) / VLOOKUP("electricity|PM25|Asthma symptoms cough", US_national_yearly!$D:$AM, 10, FALSE), 1)</f>
        <v>1.8147921208750264E-2</v>
      </c>
      <c r="AB6" s="7">
        <f>$B6 * IFERROR(VLOOKUP("electricity|PM25|Asthma symptoms cough", US_national_yearly!$D:$AM, 36, FALSE) / VLOOKUP("electricity|PM25|Asthma symptoms cough", US_national_yearly!$D:$AM, 10, FALSE), 1)</f>
        <v>1.8147921208750264E-2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2.4438790433060967E-2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2.4438790433060967E-2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2.4438790433060967E-2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2.4438790433060967E-2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2.4438790433060967E-2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2.4438790433060967E-2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2.4438790433060967E-2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2.4438790433060967E-2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2.4438790433060967E-2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2.4438790433060967E-2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2.4438790433060967E-2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2.4438790433060967E-2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2.4438790433060967E-2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2.4438790433060967E-2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2.4438790433060967E-2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2.4438790433060967E-2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2.4438790433060967E-2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2.4438790433060967E-2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2.4438790433060967E-2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2.4438790433060967E-2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2.4438790433060967E-2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2.4438790433060967E-2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2.4438790433060967E-2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2.4438790433060967E-2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2.4438790433060967E-2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2.4438790433060967E-2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2.4438790433060967E-2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3.7338397050716517E-2</v>
      </c>
      <c r="C8" s="7">
        <f>$B8 * IFERROR(VLOOKUP("electricity|PM25|Asthma symptoms wheeze", US_national_yearly!$D:$AM, 11, FALSE) / VLOOKUP("electricity|PM25|Asthma symptoms wheeze", US_national_yearly!$D:$AM, 10, FALSE), 1)</f>
        <v>3.7338397050716517E-2</v>
      </c>
      <c r="D8" s="7">
        <f>$B8 * IFERROR(VLOOKUP("electricity|PM25|Asthma symptoms wheeze", US_national_yearly!$D:$AM, 12, FALSE) / VLOOKUP("electricity|PM25|Asthma symptoms wheeze", US_national_yearly!$D:$AM, 10, FALSE), 1)</f>
        <v>3.7338397050716517E-2</v>
      </c>
      <c r="E8" s="7">
        <f>$B8 * IFERROR(VLOOKUP("electricity|PM25|Asthma symptoms wheeze", US_national_yearly!$D:$AM, 13, FALSE) / VLOOKUP("electricity|PM25|Asthma symptoms wheeze", US_national_yearly!$D:$AM, 10, FALSE), 1)</f>
        <v>3.7338397050716517E-2</v>
      </c>
      <c r="F8" s="7">
        <f>$B8 * IFERROR(VLOOKUP("electricity|PM25|Asthma symptoms wheeze", US_national_yearly!$D:$AM, 14, FALSE) / VLOOKUP("electricity|PM25|Asthma symptoms wheeze", US_national_yearly!$D:$AM, 10, FALSE), 1)</f>
        <v>3.7338397050716517E-2</v>
      </c>
      <c r="G8" s="7">
        <f>$B8 * IFERROR(VLOOKUP("electricity|PM25|Asthma symptoms wheeze", US_national_yearly!$D:$AM, 15, FALSE) / VLOOKUP("electricity|PM25|Asthma symptoms wheeze", US_national_yearly!$D:$AM, 10, FALSE), 1)</f>
        <v>3.7338397050716517E-2</v>
      </c>
      <c r="H8" s="7">
        <f>$B8 * IFERROR(VLOOKUP("electricity|PM25|Asthma symptoms wheeze", US_national_yearly!$D:$AM, 16, FALSE) / VLOOKUP("electricity|PM25|Asthma symptoms wheeze", US_national_yearly!$D:$AM, 10, FALSE), 1)</f>
        <v>3.7338397050716517E-2</v>
      </c>
      <c r="I8" s="7">
        <f>$B8 * IFERROR(VLOOKUP("electricity|PM25|Asthma symptoms wheeze", US_national_yearly!$D:$AM, 17, FALSE) / VLOOKUP("electricity|PM25|Asthma symptoms wheeze", US_national_yearly!$D:$AM, 10, FALSE), 1)</f>
        <v>3.7338397050716517E-2</v>
      </c>
      <c r="J8" s="7">
        <f>$B8 * IFERROR(VLOOKUP("electricity|PM25|Asthma symptoms wheeze", US_national_yearly!$D:$AM, 18, FALSE) / VLOOKUP("electricity|PM25|Asthma symptoms wheeze", US_national_yearly!$D:$AM, 10, FALSE), 1)</f>
        <v>3.7338397050716517E-2</v>
      </c>
      <c r="K8" s="7">
        <f>$B8 * IFERROR(VLOOKUP("electricity|PM25|Asthma symptoms wheeze", US_national_yearly!$D:$AM, 19, FALSE) / VLOOKUP("electricity|PM25|Asthma symptoms wheeze", US_national_yearly!$D:$AM, 10, FALSE), 1)</f>
        <v>3.7338397050716517E-2</v>
      </c>
      <c r="L8" s="7">
        <f>$B8 * IFERROR(VLOOKUP("electricity|PM25|Asthma symptoms wheeze", US_national_yearly!$D:$AM, 20, FALSE) / VLOOKUP("electricity|PM25|Asthma symptoms wheeze", US_national_yearly!$D:$AM, 10, FALSE), 1)</f>
        <v>3.7338397050716517E-2</v>
      </c>
      <c r="M8" s="7">
        <f>$B8 * IFERROR(VLOOKUP("electricity|PM25|Asthma symptoms wheeze", US_national_yearly!$D:$AM, 21, FALSE) / VLOOKUP("electricity|PM25|Asthma symptoms wheeze", US_national_yearly!$D:$AM, 10, FALSE), 1)</f>
        <v>3.7338397050716517E-2</v>
      </c>
      <c r="N8" s="7">
        <f>$B8 * IFERROR(VLOOKUP("electricity|PM25|Asthma symptoms wheeze", US_national_yearly!$D:$AM, 22, FALSE) / VLOOKUP("electricity|PM25|Asthma symptoms wheeze", US_national_yearly!$D:$AM, 10, FALSE), 1)</f>
        <v>3.7338397050716517E-2</v>
      </c>
      <c r="O8" s="7">
        <f>$B8 * IFERROR(VLOOKUP("electricity|PM25|Asthma symptoms wheeze", US_national_yearly!$D:$AM, 23, FALSE) / VLOOKUP("electricity|PM25|Asthma symptoms wheeze", US_national_yearly!$D:$AM, 10, FALSE), 1)</f>
        <v>3.7338397050716517E-2</v>
      </c>
      <c r="P8" s="7">
        <f>$B8 * IFERROR(VLOOKUP("electricity|PM25|Asthma symptoms wheeze", US_national_yearly!$D:$AM, 24, FALSE) / VLOOKUP("electricity|PM25|Asthma symptoms wheeze", US_national_yearly!$D:$AM, 10, FALSE), 1)</f>
        <v>3.7338397050716517E-2</v>
      </c>
      <c r="Q8" s="7">
        <f>$B8 * IFERROR(VLOOKUP("electricity|PM25|Asthma symptoms wheeze", US_national_yearly!$D:$AM, 25, FALSE) / VLOOKUP("electricity|PM25|Asthma symptoms wheeze", US_national_yearly!$D:$AM, 10, FALSE), 1)</f>
        <v>3.7338397050716517E-2</v>
      </c>
      <c r="R8" s="7">
        <f>$B8 * IFERROR(VLOOKUP("electricity|PM25|Asthma symptoms wheeze", US_national_yearly!$D:$AM, 26, FALSE) / VLOOKUP("electricity|PM25|Asthma symptoms wheeze", US_national_yearly!$D:$AM, 10, FALSE), 1)</f>
        <v>3.7338397050716517E-2</v>
      </c>
      <c r="S8" s="7">
        <f>$B8 * IFERROR(VLOOKUP("electricity|PM25|Asthma symptoms wheeze", US_national_yearly!$D:$AM, 27, FALSE) / VLOOKUP("electricity|PM25|Asthma symptoms wheeze", US_national_yearly!$D:$AM, 10, FALSE), 1)</f>
        <v>3.7338397050716517E-2</v>
      </c>
      <c r="T8" s="7">
        <f>$B8 * IFERROR(VLOOKUP("electricity|PM25|Asthma symptoms wheeze", US_national_yearly!$D:$AM, 28, FALSE) / VLOOKUP("electricity|PM25|Asthma symptoms wheeze", US_national_yearly!$D:$AM, 10, FALSE), 1)</f>
        <v>3.7338397050716517E-2</v>
      </c>
      <c r="U8" s="7">
        <f>$B8 * IFERROR(VLOOKUP("electricity|PM25|Asthma symptoms wheeze", US_national_yearly!$D:$AM, 29, FALSE) / VLOOKUP("electricity|PM25|Asthma symptoms wheeze", US_national_yearly!$D:$AM, 10, FALSE), 1)</f>
        <v>3.7338397050716517E-2</v>
      </c>
      <c r="V8" s="7">
        <f>$B8 * IFERROR(VLOOKUP("electricity|PM25|Asthma symptoms wheeze", US_national_yearly!$D:$AM, 30, FALSE) / VLOOKUP("electricity|PM25|Asthma symptoms wheeze", US_national_yearly!$D:$AM, 10, FALSE), 1)</f>
        <v>3.7338397050716517E-2</v>
      </c>
      <c r="W8" s="7">
        <f>$B8 * IFERROR(VLOOKUP("electricity|PM25|Asthma symptoms wheeze", US_national_yearly!$D:$AM, 31, FALSE) / VLOOKUP("electricity|PM25|Asthma symptoms wheeze", US_national_yearly!$D:$AM, 10, FALSE), 1)</f>
        <v>3.7338397050716517E-2</v>
      </c>
      <c r="X8" s="7">
        <f>$B8 * IFERROR(VLOOKUP("electricity|PM25|Asthma symptoms wheeze", US_national_yearly!$D:$AM, 32, FALSE) / VLOOKUP("electricity|PM25|Asthma symptoms wheeze", US_national_yearly!$D:$AM, 10, FALSE), 1)</f>
        <v>3.7338397050716517E-2</v>
      </c>
      <c r="Y8" s="7">
        <f>$B8 * IFERROR(VLOOKUP("electricity|PM25|Asthma symptoms wheeze", US_national_yearly!$D:$AM, 33, FALSE) / VLOOKUP("electricity|PM25|Asthma symptoms wheeze", US_national_yearly!$D:$AM, 10, FALSE), 1)</f>
        <v>3.7338397050716517E-2</v>
      </c>
      <c r="Z8" s="7">
        <f>$B8 * IFERROR(VLOOKUP("electricity|PM25|Asthma symptoms wheeze", US_national_yearly!$D:$AM, 34, FALSE) / VLOOKUP("electricity|PM25|Asthma symptoms wheeze", US_national_yearly!$D:$AM, 10, FALSE), 1)</f>
        <v>3.7338397050716517E-2</v>
      </c>
      <c r="AA8" s="7">
        <f>$B8 * IFERROR(VLOOKUP("electricity|PM25|Asthma symptoms wheeze", US_national_yearly!$D:$AM, 35, FALSE) / VLOOKUP("electricity|PM25|Asthma symptoms wheeze", US_national_yearly!$D:$AM, 10, FALSE), 1)</f>
        <v>3.7338397050716517E-2</v>
      </c>
      <c r="AB8" s="7">
        <f>$B8 * IFERROR(VLOOKUP("electricity|PM25|Asthma symptoms wheeze", US_national_yearly!$D:$AM, 36, FALSE) / VLOOKUP("electricity|PM25|Asthma symptoms wheeze", US_national_yearly!$D:$AM, 10, FALSE), 1)</f>
        <v>3.7338397050716517E-2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4.6388228065037868E-4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4.6643172119108673E-4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4.6898116173179472E-4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4.7153060227250287E-4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4.7408004281321081E-4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4.7681298040576527E-4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4.7954591799831973E-4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4.8198751854331215E-4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4.8442911908830441E-4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4.8687071963329667E-4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4.8931232017828893E-4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4.9175392072328141E-4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4.9340086699047774E-4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4.9504781325767418E-4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4.9669475952487073E-4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4.9834170579206706E-4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4.999886520592635E-4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5.0152337565181697E-4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5.0305809924437023E-4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5.0459282283692359E-4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5.0612754642947696E-4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5.0766227002203021E-4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5.0917981938920971E-4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5.1069736875638898E-4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5.1221491812356826E-4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5.1373246749074754E-4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5.1525001685792703E-4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2.6758537849634308E-3</v>
      </c>
      <c r="C13" s="7">
        <f>$B13 * IFERROR(VLOOKUP("electricity|PM25|Non-fatal heart attacks", US_national_yearly!$D:$AM, 11, FALSE) / VLOOKUP("electricity|PM25|Non-fatal heart attacks", US_national_yearly!$D:$AM, 10, FALSE), 1)</f>
        <v>2.7533594130677835E-3</v>
      </c>
      <c r="D13" s="7">
        <f>$B13 * IFERROR(VLOOKUP("electricity|PM25|Non-fatal heart attacks", US_national_yearly!$D:$AM, 12, FALSE) / VLOOKUP("electricity|PM25|Non-fatal heart attacks", US_national_yearly!$D:$AM, 10, FALSE), 1)</f>
        <v>2.8308650411721366E-3</v>
      </c>
      <c r="E13" s="7">
        <f>$B13 * IFERROR(VLOOKUP("electricity|PM25|Non-fatal heart attacks", US_national_yearly!$D:$AM, 13, FALSE) / VLOOKUP("electricity|PM25|Non-fatal heart attacks", US_national_yearly!$D:$AM, 10, FALSE), 1)</f>
        <v>2.9083706692764888E-3</v>
      </c>
      <c r="F13" s="7">
        <f>$B13 * IFERROR(VLOOKUP("electricity|PM25|Non-fatal heart attacks", US_national_yearly!$D:$AM, 14, FALSE) / VLOOKUP("electricity|PM25|Non-fatal heart attacks", US_national_yearly!$D:$AM, 10, FALSE), 1)</f>
        <v>2.9858762973808415E-3</v>
      </c>
      <c r="G13" s="7">
        <f>$B13 * IFERROR(VLOOKUP("electricity|PM25|Non-fatal heart attacks", US_national_yearly!$D:$AM, 15, FALSE) / VLOOKUP("electricity|PM25|Non-fatal heart attacks", US_national_yearly!$D:$AM, 10, FALSE), 1)</f>
        <v>3.0594420815682438E-3</v>
      </c>
      <c r="H13" s="7">
        <f>$B13 * IFERROR(VLOOKUP("electricity|PM25|Non-fatal heart attacks", US_national_yearly!$D:$AM, 16, FALSE) / VLOOKUP("electricity|PM25|Non-fatal heart attacks", US_national_yearly!$D:$AM, 10, FALSE), 1)</f>
        <v>3.1330078657556457E-3</v>
      </c>
      <c r="I13" s="7">
        <f>$B13 * IFERROR(VLOOKUP("electricity|PM25|Non-fatal heart attacks", US_national_yearly!$D:$AM, 17, FALSE) / VLOOKUP("electricity|PM25|Non-fatal heart attacks", US_national_yearly!$D:$AM, 10, FALSE), 1)</f>
        <v>3.1930288608004349E-3</v>
      </c>
      <c r="J13" s="7">
        <f>$B13 * IFERROR(VLOOKUP("electricity|PM25|Non-fatal heart attacks", US_national_yearly!$D:$AM, 18, FALSE) / VLOOKUP("electricity|PM25|Non-fatal heart attacks", US_national_yearly!$D:$AM, 10, FALSE), 1)</f>
        <v>3.2530498558452246E-3</v>
      </c>
      <c r="K13" s="7">
        <f>$B13 * IFERROR(VLOOKUP("electricity|PM25|Non-fatal heart attacks", US_national_yearly!$D:$AM, 19, FALSE) / VLOOKUP("electricity|PM25|Non-fatal heart attacks", US_national_yearly!$D:$AM, 10, FALSE), 1)</f>
        <v>3.3130708508900134E-3</v>
      </c>
      <c r="L13" s="7">
        <f>$B13 * IFERROR(VLOOKUP("electricity|PM25|Non-fatal heart attacks", US_national_yearly!$D:$AM, 20, FALSE) / VLOOKUP("electricity|PM25|Non-fatal heart attacks", US_national_yearly!$D:$AM, 10, FALSE), 1)</f>
        <v>3.3730918459348022E-3</v>
      </c>
      <c r="M13" s="7">
        <f>$B13 * IFERROR(VLOOKUP("electricity|PM25|Non-fatal heart attacks", US_national_yearly!$D:$AM, 21, FALSE) / VLOOKUP("electricity|PM25|Non-fatal heart attacks", US_national_yearly!$D:$AM, 10, FALSE), 1)</f>
        <v>3.4331128409795923E-3</v>
      </c>
      <c r="N13" s="7">
        <f>$B13 * IFERROR(VLOOKUP("electricity|PM25|Non-fatal heart attacks", US_national_yearly!$D:$AM, 22, FALSE) / VLOOKUP("electricity|PM25|Non-fatal heart attacks", US_national_yearly!$D:$AM, 10, FALSE), 1)</f>
        <v>3.4720587184833215E-3</v>
      </c>
      <c r="O13" s="7">
        <f>$B13 * IFERROR(VLOOKUP("electricity|PM25|Non-fatal heart attacks", US_national_yearly!$D:$AM, 23, FALSE) / VLOOKUP("electricity|PM25|Non-fatal heart attacks", US_national_yearly!$D:$AM, 10, FALSE), 1)</f>
        <v>3.5110045959870508E-3</v>
      </c>
      <c r="P13" s="7">
        <f>$B13 * IFERROR(VLOOKUP("electricity|PM25|Non-fatal heart attacks", US_national_yearly!$D:$AM, 24, FALSE) / VLOOKUP("electricity|PM25|Non-fatal heart attacks", US_national_yearly!$D:$AM, 10, FALSE), 1)</f>
        <v>3.5499504734907796E-3</v>
      </c>
      <c r="Q13" s="7">
        <f>$B13 * IFERROR(VLOOKUP("electricity|PM25|Non-fatal heart attacks", US_national_yearly!$D:$AM, 25, FALSE) / VLOOKUP("electricity|PM25|Non-fatal heart attacks", US_national_yearly!$D:$AM, 10, FALSE), 1)</f>
        <v>3.5888963509945089E-3</v>
      </c>
      <c r="R13" s="7">
        <f>$B13 * IFERROR(VLOOKUP("electricity|PM25|Non-fatal heart attacks", US_national_yearly!$D:$AM, 26, FALSE) / VLOOKUP("electricity|PM25|Non-fatal heart attacks", US_national_yearly!$D:$AM, 10, FALSE), 1)</f>
        <v>3.6278422284982382E-3</v>
      </c>
      <c r="S13" s="7">
        <f>$B13 * IFERROR(VLOOKUP("electricity|PM25|Non-fatal heart attacks", US_national_yearly!$D:$AM, 27, FALSE) / VLOOKUP("electricity|PM25|Non-fatal heart attacks", US_national_yearly!$D:$AM, 10, FALSE), 1)</f>
        <v>3.6492829345914557E-3</v>
      </c>
      <c r="T13" s="7">
        <f>$B13 * IFERROR(VLOOKUP("electricity|PM25|Non-fatal heart attacks", US_national_yearly!$D:$AM, 28, FALSE) / VLOOKUP("electricity|PM25|Non-fatal heart attacks", US_national_yearly!$D:$AM, 10, FALSE), 1)</f>
        <v>3.670723640684674E-3</v>
      </c>
      <c r="U13" s="7">
        <f>$B13 * IFERROR(VLOOKUP("electricity|PM25|Non-fatal heart attacks", US_national_yearly!$D:$AM, 29, FALSE) / VLOOKUP("electricity|PM25|Non-fatal heart attacks", US_national_yearly!$D:$AM, 10, FALSE), 1)</f>
        <v>3.6921643467778915E-3</v>
      </c>
      <c r="V13" s="7">
        <f>$B13 * IFERROR(VLOOKUP("electricity|PM25|Non-fatal heart attacks", US_national_yearly!$D:$AM, 30, FALSE) / VLOOKUP("electricity|PM25|Non-fatal heart attacks", US_national_yearly!$D:$AM, 10, FALSE), 1)</f>
        <v>3.713605052871109E-3</v>
      </c>
      <c r="W13" s="7">
        <f>$B13 * IFERROR(VLOOKUP("electricity|PM25|Non-fatal heart attacks", US_national_yearly!$D:$AM, 31, FALSE) / VLOOKUP("electricity|PM25|Non-fatal heart attacks", US_national_yearly!$D:$AM, 10, FALSE), 1)</f>
        <v>3.7350457589643269E-3</v>
      </c>
      <c r="X13" s="7">
        <f>$B13 * IFERROR(VLOOKUP("electricity|PM25|Non-fatal heart attacks", US_national_yearly!$D:$AM, 32, FALSE) / VLOOKUP("electricity|PM25|Non-fatal heart attacks", US_national_yearly!$D:$AM, 10, FALSE), 1)</f>
        <v>3.7518191617949537E-3</v>
      </c>
      <c r="Y13" s="7">
        <f>$B13 * IFERROR(VLOOKUP("electricity|PM25|Non-fatal heart attacks", US_national_yearly!$D:$AM, 33, FALSE) / VLOOKUP("electricity|PM25|Non-fatal heart attacks", US_national_yearly!$D:$AM, 10, FALSE), 1)</f>
        <v>3.768592564625581E-3</v>
      </c>
      <c r="Z13" s="7">
        <f>$B13 * IFERROR(VLOOKUP("electricity|PM25|Non-fatal heart attacks", US_national_yearly!$D:$AM, 34, FALSE) / VLOOKUP("electricity|PM25|Non-fatal heart attacks", US_national_yearly!$D:$AM, 10, FALSE), 1)</f>
        <v>3.7853659674562078E-3</v>
      </c>
      <c r="AA13" s="7">
        <f>$B13 * IFERROR(VLOOKUP("electricity|PM25|Non-fatal heart attacks", US_national_yearly!$D:$AM, 35, FALSE) / VLOOKUP("electricity|PM25|Non-fatal heart attacks", US_national_yearly!$D:$AM, 10, FALSE), 1)</f>
        <v>3.8021393702868359E-3</v>
      </c>
      <c r="AB13" s="7">
        <f>$B13 * IFERROR(VLOOKUP("electricity|PM25|Non-fatal heart attacks", US_national_yearly!$D:$AM, 36, FALSE) / VLOOKUP("electricity|PM25|Non-fatal heart attacks", US_national_yearly!$D:$AM, 10, FALSE), 1)</f>
        <v>3.8189127731174627E-3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2.0905967189022432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2.0952377030933054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2.0998786872843684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2.1045196714754306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2.1091606556664937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2.1160473384373431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2.1229340212081924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2.1350940277174897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2.1472540342267874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2.1594140407360851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2.1715740472453828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2.1837340537546801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2.2006034897766527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2.2174729257986252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2.2343423618205982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2.2512117978425712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2.2680812338645433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2.2850961773260239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2.302111120787504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2.3191260642489837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2.3361410077104643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2.3531559511719444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2.3677413092478687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2.3823266673237935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2.3969120253997183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2.4114973834756421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2.4260827415515673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0.35320794864875499</v>
      </c>
      <c r="C15" s="7">
        <f>$B15 * IFERROR(VLOOKUP("electricity|PM25|Work loss days", US_national_yearly!$D:$AM, 11, FALSE) / VLOOKUP("electricity|PM25|Work loss days", US_national_yearly!$D:$AM, 10, FALSE), 1)</f>
        <v>0.35421867361095594</v>
      </c>
      <c r="D15" s="7">
        <f>$B15 * IFERROR(VLOOKUP("electricity|PM25|Work loss days", US_national_yearly!$D:$AM, 12, FALSE) / VLOOKUP("electricity|PM25|Work loss days", US_national_yearly!$D:$AM, 10, FALSE), 1)</f>
        <v>0.355229398573157</v>
      </c>
      <c r="E15" s="7">
        <f>$B15 * IFERROR(VLOOKUP("electricity|PM25|Work loss days", US_national_yearly!$D:$AM, 13, FALSE) / VLOOKUP("electricity|PM25|Work loss days", US_national_yearly!$D:$AM, 10, FALSE), 1)</f>
        <v>0.356240123535358</v>
      </c>
      <c r="F15" s="7">
        <f>$B15 * IFERROR(VLOOKUP("electricity|PM25|Work loss days", US_national_yearly!$D:$AM, 14, FALSE) / VLOOKUP("electricity|PM25|Work loss days", US_national_yearly!$D:$AM, 10, FALSE), 1)</f>
        <v>0.35725084849755895</v>
      </c>
      <c r="G15" s="7">
        <f>$B15 * IFERROR(VLOOKUP("electricity|PM25|Work loss days", US_national_yearly!$D:$AM, 15, FALSE) / VLOOKUP("electricity|PM25|Work loss days", US_national_yearly!$D:$AM, 10, FALSE), 1)</f>
        <v>0.35856019080068002</v>
      </c>
      <c r="H15" s="7">
        <f>$B15 * IFERROR(VLOOKUP("electricity|PM25|Work loss days", US_national_yearly!$D:$AM, 16, FALSE) / VLOOKUP("electricity|PM25|Work loss days", US_national_yearly!$D:$AM, 10, FALSE), 1)</f>
        <v>0.35986953310380121</v>
      </c>
      <c r="I15" s="7">
        <f>$B15 * IFERROR(VLOOKUP("electricity|PM25|Work loss days", US_national_yearly!$D:$AM, 17, FALSE) / VLOOKUP("electricity|PM25|Work loss days", US_national_yearly!$D:$AM, 10, FALSE), 1)</f>
        <v>0.36183790567440055</v>
      </c>
      <c r="J15" s="7">
        <f>$B15 * IFERROR(VLOOKUP("electricity|PM25|Work loss days", US_national_yearly!$D:$AM, 18, FALSE) / VLOOKUP("electricity|PM25|Work loss days", US_national_yearly!$D:$AM, 10, FALSE), 1)</f>
        <v>0.36380627824499978</v>
      </c>
      <c r="K15" s="7">
        <f>$B15 * IFERROR(VLOOKUP("electricity|PM25|Work loss days", US_national_yearly!$D:$AM, 19, FALSE) / VLOOKUP("electricity|PM25|Work loss days", US_national_yearly!$D:$AM, 10, FALSE), 1)</f>
        <v>0.36577465081559912</v>
      </c>
      <c r="L15" s="7">
        <f>$B15 * IFERROR(VLOOKUP("electricity|PM25|Work loss days", US_national_yearly!$D:$AM, 20, FALSE) / VLOOKUP("electricity|PM25|Work loss days", US_national_yearly!$D:$AM, 10, FALSE), 1)</f>
        <v>0.36774302338619841</v>
      </c>
      <c r="M15" s="7">
        <f>$B15 * IFERROR(VLOOKUP("electricity|PM25|Work loss days", US_national_yearly!$D:$AM, 21, FALSE) / VLOOKUP("electricity|PM25|Work loss days", US_national_yearly!$D:$AM, 10, FALSE), 1)</f>
        <v>0.36971139595679775</v>
      </c>
      <c r="N15" s="7">
        <f>$B15 * IFERROR(VLOOKUP("electricity|PM25|Work loss days", US_national_yearly!$D:$AM, 22, FALSE) / VLOOKUP("electricity|PM25|Work loss days", US_national_yearly!$D:$AM, 10, FALSE), 1)</f>
        <v>0.37225270159473856</v>
      </c>
      <c r="O15" s="7">
        <f>$B15 * IFERROR(VLOOKUP("electricity|PM25|Work loss days", US_national_yearly!$D:$AM, 23, FALSE) / VLOOKUP("electricity|PM25|Work loss days", US_national_yearly!$D:$AM, 10, FALSE), 1)</f>
        <v>0.37479400723267936</v>
      </c>
      <c r="P15" s="7">
        <f>$B15 * IFERROR(VLOOKUP("electricity|PM25|Work loss days", US_national_yearly!$D:$AM, 24, FALSE) / VLOOKUP("electricity|PM25|Work loss days", US_national_yearly!$D:$AM, 10, FALSE), 1)</f>
        <v>0.37733531287062005</v>
      </c>
      <c r="Q15" s="7">
        <f>$B15 * IFERROR(VLOOKUP("electricity|PM25|Work loss days", US_national_yearly!$D:$AM, 25, FALSE) / VLOOKUP("electricity|PM25|Work loss days", US_national_yearly!$D:$AM, 10, FALSE), 1)</f>
        <v>0.3798766185085608</v>
      </c>
      <c r="R15" s="7">
        <f>$B15 * IFERROR(VLOOKUP("electricity|PM25|Work loss days", US_national_yearly!$D:$AM, 26, FALSE) / VLOOKUP("electricity|PM25|Work loss days", US_national_yearly!$D:$AM, 10, FALSE), 1)</f>
        <v>0.38241792414650161</v>
      </c>
      <c r="S15" s="7">
        <f>$B15 * IFERROR(VLOOKUP("electricity|PM25|Work loss days", US_national_yearly!$D:$AM, 27, FALSE) / VLOOKUP("electricity|PM25|Work loss days", US_national_yearly!$D:$AM, 10, FALSE), 1)</f>
        <v>0.38523787603136345</v>
      </c>
      <c r="T15" s="7">
        <f>$B15 * IFERROR(VLOOKUP("electricity|PM25|Work loss days", US_national_yearly!$D:$AM, 28, FALSE) / VLOOKUP("electricity|PM25|Work loss days", US_national_yearly!$D:$AM, 10, FALSE), 1)</f>
        <v>0.3880578279162254</v>
      </c>
      <c r="U15" s="7">
        <f>$B15 * IFERROR(VLOOKUP("electricity|PM25|Work loss days", US_national_yearly!$D:$AM, 29, FALSE) / VLOOKUP("electricity|PM25|Work loss days", US_national_yearly!$D:$AM, 10, FALSE), 1)</f>
        <v>0.39087777980108734</v>
      </c>
      <c r="V15" s="7">
        <f>$B15 * IFERROR(VLOOKUP("electricity|PM25|Work loss days", US_national_yearly!$D:$AM, 30, FALSE) / VLOOKUP("electricity|PM25|Work loss days", US_national_yearly!$D:$AM, 10, FALSE), 1)</f>
        <v>0.39369773168594929</v>
      </c>
      <c r="W15" s="7">
        <f>$B15 * IFERROR(VLOOKUP("electricity|PM25|Work loss days", US_national_yearly!$D:$AM, 31, FALSE) / VLOOKUP("electricity|PM25|Work loss days", US_national_yearly!$D:$AM, 10, FALSE), 1)</f>
        <v>0.39651768357081119</v>
      </c>
      <c r="X15" s="7">
        <f>$B15 * IFERROR(VLOOKUP("electricity|PM25|Work loss days", US_national_yearly!$D:$AM, 32, FALSE) / VLOOKUP("electricity|PM25|Work loss days", US_national_yearly!$D:$AM, 10, FALSE), 1)</f>
        <v>0.39900534384641467</v>
      </c>
      <c r="Y15" s="7">
        <f>$B15 * IFERROR(VLOOKUP("electricity|PM25|Work loss days", US_national_yearly!$D:$AM, 33, FALSE) / VLOOKUP("electricity|PM25|Work loss days", US_national_yearly!$D:$AM, 10, FALSE), 1)</f>
        <v>0.40149300412201799</v>
      </c>
      <c r="Z15" s="7">
        <f>$B15 * IFERROR(VLOOKUP("electricity|PM25|Work loss days", US_national_yearly!$D:$AM, 34, FALSE) / VLOOKUP("electricity|PM25|Work loss days", US_national_yearly!$D:$AM, 10, FALSE), 1)</f>
        <v>0.40398066439762143</v>
      </c>
      <c r="AA15" s="7">
        <f>$B15 * IFERROR(VLOOKUP("electricity|PM25|Work loss days", US_national_yearly!$D:$AM, 35, FALSE) / VLOOKUP("electricity|PM25|Work loss days", US_national_yearly!$D:$AM, 10, FALSE), 1)</f>
        <v>0.40646832467322491</v>
      </c>
      <c r="AB15" s="7">
        <f>$B15 * IFERROR(VLOOKUP("electricity|PM25|Work loss days", US_national_yearly!$D:$AM, 36, FALSE) / VLOOKUP("electricity|PM25|Work loss days", US_national_yearly!$D:$AM, 10, FALSE), 1)</f>
        <v>0.40895598494882829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6.3457637721354933E-4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6.5340737356621925E-4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6.7223836991888906E-4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6.9106936627155897E-4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7.0990036262422878E-4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7.2806282939211859E-4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7.4622529616000829E-4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7.6195906835331204E-4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7.7769284054661578E-4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7.9342661273991942E-4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8.0916038493322317E-4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8.248941571265268E-4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8.35470759423833E-4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8.4604736172113888E-4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8.5662396401844487E-4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8.6720056631575096E-4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8.7777716861305694E-4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8.8361440953877183E-4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8.8945165046448651E-4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8.9528889139020129E-4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9.0112613231591607E-4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9.0696337324163085E-4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9.1103574862960561E-4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9.1510812401758026E-4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9.1918049940555512E-4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9.2325287479352999E-4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9.2732525018150486E-4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3.382692408121841E-5</v>
      </c>
      <c r="C2" s="7">
        <f>$B2 * IFERROR(VLOOKUP("electricity|NOx|Premature mortality", US_national_yearly!$D:$AM, 11, FALSE) / VLOOKUP("electricity|NOx|Premature mortality", US_national_yearly!$D:$AM, 10, FALSE), 1)</f>
        <v>3.4338746878942796E-5</v>
      </c>
      <c r="D2" s="7">
        <f>$B2 * IFERROR(VLOOKUP("electricity|NOx|Premature mortality", US_national_yearly!$D:$AM, 12, FALSE) / VLOOKUP("electricity|NOx|Premature mortality", US_national_yearly!$D:$AM, 10, FALSE), 1)</f>
        <v>3.4850569676667181E-5</v>
      </c>
      <c r="E2" s="7">
        <f>$B2 * IFERROR(VLOOKUP("electricity|NOx|Premature mortality", US_national_yearly!$D:$AM, 13, FALSE) / VLOOKUP("electricity|NOx|Premature mortality", US_national_yearly!$D:$AM, 10, FALSE), 1)</f>
        <v>3.5362392474391566E-5</v>
      </c>
      <c r="F2" s="7">
        <f>$B2 * IFERROR(VLOOKUP("electricity|NOx|Premature mortality", US_national_yearly!$D:$AM, 14, FALSE) / VLOOKUP("electricity|NOx|Premature mortality", US_national_yearly!$D:$AM, 10, FALSE), 1)</f>
        <v>3.5874215272115952E-5</v>
      </c>
      <c r="G2" s="7">
        <f>$B2 * IFERROR(VLOOKUP("electricity|NOx|Premature mortality", US_national_yearly!$D:$AM, 15, FALSE) / VLOOKUP("electricity|NOx|Premature mortality", US_national_yearly!$D:$AM, 10, FALSE), 1)</f>
        <v>3.6788519288805018E-5</v>
      </c>
      <c r="H2" s="7">
        <f>$B2 * IFERROR(VLOOKUP("electricity|NOx|Premature mortality", US_national_yearly!$D:$AM, 16, FALSE) / VLOOKUP("electricity|NOx|Premature mortality", US_national_yearly!$D:$AM, 10, FALSE), 1)</f>
        <v>3.7702823305494078E-5</v>
      </c>
      <c r="I2" s="7">
        <f>$B2 * IFERROR(VLOOKUP("electricity|NOx|Premature mortality", US_national_yearly!$D:$AM, 17, FALSE) / VLOOKUP("electricity|NOx|Premature mortality", US_national_yearly!$D:$AM, 10, FALSE), 1)</f>
        <v>3.83104158794408E-5</v>
      </c>
      <c r="J2" s="7">
        <f>$B2 * IFERROR(VLOOKUP("electricity|NOx|Premature mortality", US_national_yearly!$D:$AM, 18, FALSE) / VLOOKUP("electricity|NOx|Premature mortality", US_national_yearly!$D:$AM, 10, FALSE), 1)</f>
        <v>3.8918008453387529E-5</v>
      </c>
      <c r="K2" s="7">
        <f>$B2 * IFERROR(VLOOKUP("electricity|NOx|Premature mortality", US_national_yearly!$D:$AM, 19, FALSE) / VLOOKUP("electricity|NOx|Premature mortality", US_national_yearly!$D:$AM, 10, FALSE), 1)</f>
        <v>3.9525601027334244E-5</v>
      </c>
      <c r="L2" s="7">
        <f>$B2 * IFERROR(VLOOKUP("electricity|NOx|Premature mortality", US_national_yearly!$D:$AM, 20, FALSE) / VLOOKUP("electricity|NOx|Premature mortality", US_national_yearly!$D:$AM, 10, FALSE), 1)</f>
        <v>4.0133193601280966E-5</v>
      </c>
      <c r="M2" s="7">
        <f>$B2 * IFERROR(VLOOKUP("electricity|NOx|Premature mortality", US_national_yearly!$D:$AM, 21, FALSE) / VLOOKUP("electricity|NOx|Premature mortality", US_national_yearly!$D:$AM, 10, FALSE), 1)</f>
        <v>4.0740786175227688E-5</v>
      </c>
      <c r="N2" s="7">
        <f>$B2 * IFERROR(VLOOKUP("electricity|NOx|Premature mortality", US_national_yearly!$D:$AM, 22, FALSE) / VLOOKUP("electricity|NOx|Premature mortality", US_national_yearly!$D:$AM, 10, FALSE), 1)</f>
        <v>4.1209614086697797E-5</v>
      </c>
      <c r="O2" s="7">
        <f>$B2 * IFERROR(VLOOKUP("electricity|NOx|Premature mortality", US_national_yearly!$D:$AM, 23, FALSE) / VLOOKUP("electricity|NOx|Premature mortality", US_national_yearly!$D:$AM, 10, FALSE), 1)</f>
        <v>4.1678441998167921E-5</v>
      </c>
      <c r="P2" s="7">
        <f>$B2 * IFERROR(VLOOKUP("electricity|NOx|Premature mortality", US_national_yearly!$D:$AM, 24, FALSE) / VLOOKUP("electricity|NOx|Premature mortality", US_national_yearly!$D:$AM, 10, FALSE), 1)</f>
        <v>4.2147269909638031E-5</v>
      </c>
      <c r="Q2" s="7">
        <f>$B2 * IFERROR(VLOOKUP("electricity|NOx|Premature mortality", US_national_yearly!$D:$AM, 25, FALSE) / VLOOKUP("electricity|NOx|Premature mortality", US_national_yearly!$D:$AM, 10, FALSE), 1)</f>
        <v>4.2616097821108147E-5</v>
      </c>
      <c r="R2" s="7">
        <f>$B2 * IFERROR(VLOOKUP("electricity|NOx|Premature mortality", US_national_yearly!$D:$AM, 26, FALSE) / VLOOKUP("electricity|NOx|Premature mortality", US_national_yearly!$D:$AM, 10, FALSE), 1)</f>
        <v>4.3084925732578257E-5</v>
      </c>
      <c r="S2" s="7">
        <f>$B2 * IFERROR(VLOOKUP("electricity|NOx|Premature mortality", US_national_yearly!$D:$AM, 27, FALSE) / VLOOKUP("electricity|NOx|Premature mortality", US_national_yearly!$D:$AM, 10, FALSE), 1)</f>
        <v>4.3327188744590202E-5</v>
      </c>
      <c r="T2" s="7">
        <f>$B2 * IFERROR(VLOOKUP("electricity|NOx|Premature mortality", US_national_yearly!$D:$AM, 28, FALSE) / VLOOKUP("electricity|NOx|Premature mortality", US_national_yearly!$D:$AM, 10, FALSE), 1)</f>
        <v>4.3569451756602154E-5</v>
      </c>
      <c r="U2" s="7">
        <f>$B2 * IFERROR(VLOOKUP("electricity|NOx|Premature mortality", US_national_yearly!$D:$AM, 29, FALSE) / VLOOKUP("electricity|NOx|Premature mortality", US_national_yearly!$D:$AM, 10, FALSE), 1)</f>
        <v>4.3811714768614113E-5</v>
      </c>
      <c r="V2" s="7">
        <f>$B2 * IFERROR(VLOOKUP("electricity|NOx|Premature mortality", US_national_yearly!$D:$AM, 30, FALSE) / VLOOKUP("electricity|NOx|Premature mortality", US_national_yearly!$D:$AM, 10, FALSE), 1)</f>
        <v>4.4053977780626065E-5</v>
      </c>
      <c r="W2" s="7">
        <f>$B2 * IFERROR(VLOOKUP("electricity|NOx|Premature mortality", US_national_yearly!$D:$AM, 31, FALSE) / VLOOKUP("electricity|NOx|Premature mortality", US_national_yearly!$D:$AM, 10, FALSE), 1)</f>
        <v>4.429624079263801E-5</v>
      </c>
      <c r="X2" s="7">
        <f>$B2 * IFERROR(VLOOKUP("electricity|NOx|Premature mortality", US_national_yearly!$D:$AM, 32, FALSE) / VLOOKUP("electricity|NOx|Premature mortality", US_national_yearly!$D:$AM, 10, FALSE), 1)</f>
        <v>4.43510482121603E-5</v>
      </c>
      <c r="Y2" s="7">
        <f>$B2 * IFERROR(VLOOKUP("electricity|NOx|Premature mortality", US_national_yearly!$D:$AM, 33, FALSE) / VLOOKUP("electricity|NOx|Premature mortality", US_national_yearly!$D:$AM, 10, FALSE), 1)</f>
        <v>4.4405855631682584E-5</v>
      </c>
      <c r="Z2" s="7">
        <f>$B2 * IFERROR(VLOOKUP("electricity|NOx|Premature mortality", US_national_yearly!$D:$AM, 34, FALSE) / VLOOKUP("electricity|NOx|Premature mortality", US_national_yearly!$D:$AM, 10, FALSE), 1)</f>
        <v>4.4460663051204875E-5</v>
      </c>
      <c r="AA2" s="7">
        <f>$B2 * IFERROR(VLOOKUP("electricity|NOx|Premature mortality", US_national_yearly!$D:$AM, 35, FALSE) / VLOOKUP("electricity|NOx|Premature mortality", US_national_yearly!$D:$AM, 10, FALSE), 1)</f>
        <v>4.4515470470727151E-5</v>
      </c>
      <c r="AB2" s="7">
        <f>$B2 * IFERROR(VLOOKUP("electricity|NOx|Premature mortality", US_national_yearly!$D:$AM, 36, FALSE) / VLOOKUP("electricity|NOx|Premature mortality", US_national_yearly!$D:$AM, 10, FALSE), 1)</f>
        <v>4.4570277890249442E-5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7.7460526853653644E-8</v>
      </c>
      <c r="C3" s="7">
        <f>$B3 * IFERROR(VLOOKUP("electricity|NOx|Infant mortality", US_national_yearly!$D:$AM, 11, FALSE) / VLOOKUP("electricity|NOx|Infant mortality", US_national_yearly!$D:$AM, 10, FALSE), 1)</f>
        <v>7.6735839367749166E-8</v>
      </c>
      <c r="D3" s="7">
        <f>$B3 * IFERROR(VLOOKUP("electricity|NOx|Infant mortality", US_national_yearly!$D:$AM, 12, FALSE) / VLOOKUP("electricity|NOx|Infant mortality", US_national_yearly!$D:$AM, 10, FALSE), 1)</f>
        <v>7.6011151881844675E-8</v>
      </c>
      <c r="E3" s="7">
        <f>$B3 * IFERROR(VLOOKUP("electricity|NOx|Infant mortality", US_national_yearly!$D:$AM, 13, FALSE) / VLOOKUP("electricity|NOx|Infant mortality", US_national_yearly!$D:$AM, 10, FALSE), 1)</f>
        <v>7.528646439594021E-8</v>
      </c>
      <c r="F3" s="7">
        <f>$B3 * IFERROR(VLOOKUP("electricity|NOx|Infant mortality", US_national_yearly!$D:$AM, 14, FALSE) / VLOOKUP("electricity|NOx|Infant mortality", US_national_yearly!$D:$AM, 10, FALSE), 1)</f>
        <v>7.4561776910035719E-8</v>
      </c>
      <c r="G3" s="7">
        <f>$B3 * IFERROR(VLOOKUP("electricity|NOx|Infant mortality", US_national_yearly!$D:$AM, 15, FALSE) / VLOOKUP("electricity|NOx|Infant mortality", US_national_yearly!$D:$AM, 10, FALSE), 1)</f>
        <v>4.9400871262840076E-8</v>
      </c>
      <c r="H3" s="7">
        <f>$B3 * IFERROR(VLOOKUP("electricity|NOx|Infant mortality", US_national_yearly!$D:$AM, 16, FALSE) / VLOOKUP("electricity|NOx|Infant mortality", US_national_yearly!$D:$AM, 10, FALSE), 1)</f>
        <v>2.4239965615644443E-8</v>
      </c>
      <c r="I3" s="7">
        <f>$B3 * IFERROR(VLOOKUP("electricity|NOx|Infant mortality", US_national_yearly!$D:$AM, 17, FALSE) / VLOOKUP("electricity|NOx|Infant mortality", US_national_yearly!$D:$AM, 10, FALSE), 1)</f>
        <v>2.4063679339559762E-8</v>
      </c>
      <c r="J3" s="7">
        <f>$B3 * IFERROR(VLOOKUP("electricity|NOx|Infant mortality", US_national_yearly!$D:$AM, 18, FALSE) / VLOOKUP("electricity|NOx|Infant mortality", US_national_yearly!$D:$AM, 10, FALSE), 1)</f>
        <v>2.3887393063475084E-8</v>
      </c>
      <c r="K3" s="7">
        <f>$B3 * IFERROR(VLOOKUP("electricity|NOx|Infant mortality", US_national_yearly!$D:$AM, 19, FALSE) / VLOOKUP("electricity|NOx|Infant mortality", US_national_yearly!$D:$AM, 10, FALSE), 1)</f>
        <v>2.3711106787390403E-8</v>
      </c>
      <c r="L3" s="7">
        <f>$B3 * IFERROR(VLOOKUP("electricity|NOx|Infant mortality", US_national_yearly!$D:$AM, 20, FALSE) / VLOOKUP("electricity|NOx|Infant mortality", US_national_yearly!$D:$AM, 10, FALSE), 1)</f>
        <v>2.3534820511305722E-8</v>
      </c>
      <c r="M3" s="7">
        <f>$B3 * IFERROR(VLOOKUP("electricity|NOx|Infant mortality", US_national_yearly!$D:$AM, 21, FALSE) / VLOOKUP("electricity|NOx|Infant mortality", US_national_yearly!$D:$AM, 10, FALSE), 1)</f>
        <v>2.3358534235221037E-8</v>
      </c>
      <c r="N3" s="7">
        <f>$B3 * IFERROR(VLOOKUP("electricity|NOx|Infant mortality", US_national_yearly!$D:$AM, 22, FALSE) / VLOOKUP("electricity|NOx|Infant mortality", US_national_yearly!$D:$AM, 10, FALSE), 1)</f>
        <v>2.324015673449365E-8</v>
      </c>
      <c r="O3" s="7">
        <f>$B3 * IFERROR(VLOOKUP("electricity|NOx|Infant mortality", US_national_yearly!$D:$AM, 23, FALSE) / VLOOKUP("electricity|NOx|Infant mortality", US_national_yearly!$D:$AM, 10, FALSE), 1)</f>
        <v>2.3121779233766263E-8</v>
      </c>
      <c r="P3" s="7">
        <f>$B3 * IFERROR(VLOOKUP("electricity|NOx|Infant mortality", US_national_yearly!$D:$AM, 24, FALSE) / VLOOKUP("electricity|NOx|Infant mortality", US_national_yearly!$D:$AM, 10, FALSE), 1)</f>
        <v>2.3003401733038872E-8</v>
      </c>
      <c r="Q3" s="7">
        <f>$B3 * IFERROR(VLOOKUP("electricity|NOx|Infant mortality", US_national_yearly!$D:$AM, 25, FALSE) / VLOOKUP("electricity|NOx|Infant mortality", US_national_yearly!$D:$AM, 10, FALSE), 1)</f>
        <v>2.2885024232311485E-8</v>
      </c>
      <c r="R3" s="7">
        <f>$B3 * IFERROR(VLOOKUP("electricity|NOx|Infant mortality", US_national_yearly!$D:$AM, 26, FALSE) / VLOOKUP("electricity|NOx|Infant mortality", US_national_yearly!$D:$AM, 10, FALSE), 1)</f>
        <v>2.2766646731584101E-8</v>
      </c>
      <c r="S3" s="7">
        <f>$B3 * IFERROR(VLOOKUP("electricity|NOx|Infant mortality", US_national_yearly!$D:$AM, 27, FALSE) / VLOOKUP("electricity|NOx|Infant mortality", US_national_yearly!$D:$AM, 10, FALSE), 1)</f>
        <v>2.2626112023433325E-8</v>
      </c>
      <c r="T3" s="7">
        <f>$B3 * IFERROR(VLOOKUP("electricity|NOx|Infant mortality", US_national_yearly!$D:$AM, 28, FALSE) / VLOOKUP("electricity|NOx|Infant mortality", US_national_yearly!$D:$AM, 10, FALSE), 1)</f>
        <v>2.2485577315282549E-8</v>
      </c>
      <c r="U3" s="7">
        <f>$B3 * IFERROR(VLOOKUP("electricity|NOx|Infant mortality", US_national_yearly!$D:$AM, 29, FALSE) / VLOOKUP("electricity|NOx|Infant mortality", US_national_yearly!$D:$AM, 10, FALSE), 1)</f>
        <v>2.2345042607131775E-8</v>
      </c>
      <c r="V3" s="7">
        <f>$B3 * IFERROR(VLOOKUP("electricity|NOx|Infant mortality", US_national_yearly!$D:$AM, 30, FALSE) / VLOOKUP("electricity|NOx|Infant mortality", US_national_yearly!$D:$AM, 10, FALSE), 1)</f>
        <v>2.2204507898981002E-8</v>
      </c>
      <c r="W3" s="7">
        <f>$B3 * IFERROR(VLOOKUP("electricity|NOx|Infant mortality", US_national_yearly!$D:$AM, 31, FALSE) / VLOOKUP("electricity|NOx|Infant mortality", US_national_yearly!$D:$AM, 10, FALSE), 1)</f>
        <v>2.2063973190830226E-8</v>
      </c>
      <c r="X3" s="7">
        <f>$B3 * IFERROR(VLOOKUP("electricity|NOx|Infant mortality", US_national_yearly!$D:$AM, 32, FALSE) / VLOOKUP("electricity|NOx|Infant mortality", US_national_yearly!$D:$AM, 10, FALSE), 1)</f>
        <v>2.1919268203454027E-8</v>
      </c>
      <c r="Y3" s="7">
        <f>$B3 * IFERROR(VLOOKUP("electricity|NOx|Infant mortality", US_national_yearly!$D:$AM, 33, FALSE) / VLOOKUP("electricity|NOx|Infant mortality", US_national_yearly!$D:$AM, 10, FALSE), 1)</f>
        <v>2.1774563216077828E-8</v>
      </c>
      <c r="Z3" s="7">
        <f>$B3 * IFERROR(VLOOKUP("electricity|NOx|Infant mortality", US_national_yearly!$D:$AM, 34, FALSE) / VLOOKUP("electricity|NOx|Infant mortality", US_national_yearly!$D:$AM, 10, FALSE), 1)</f>
        <v>2.1629858228701629E-8</v>
      </c>
      <c r="AA3" s="7">
        <f>$B3 * IFERROR(VLOOKUP("electricity|NOx|Infant mortality", US_national_yearly!$D:$AM, 35, FALSE) / VLOOKUP("electricity|NOx|Infant mortality", US_national_yearly!$D:$AM, 10, FALSE), 1)</f>
        <v>2.1485153241325427E-8</v>
      </c>
      <c r="AB3" s="7">
        <f>$B3 * IFERROR(VLOOKUP("electricity|NOx|Infant mortality", US_national_yearly!$D:$AM, 36, FALSE) / VLOOKUP("electricity|NOx|Infant mortality", US_national_yearly!$D:$AM, 10, FALSE), 1)</f>
        <v>2.1340448253949224E-8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9.2662381296964151E-5</v>
      </c>
      <c r="C6" s="7">
        <f>$B6 * IFERROR(VLOOKUP("electricity|NOx|Asthma symptoms cough", US_national_yearly!$D:$AM, 11, FALSE) / VLOOKUP("electricity|NOx|Asthma symptoms cough", US_national_yearly!$D:$AM, 10, FALSE), 1)</f>
        <v>9.3934518198610946E-5</v>
      </c>
      <c r="D6" s="7">
        <f>$B6 * IFERROR(VLOOKUP("electricity|NOx|Asthma symptoms cough", US_national_yearly!$D:$AM, 12, FALSE) / VLOOKUP("electricity|NOx|Asthma symptoms cough", US_national_yearly!$D:$AM, 10, FALSE), 1)</f>
        <v>9.5206655100257769E-5</v>
      </c>
      <c r="E6" s="7">
        <f>$B6 * IFERROR(VLOOKUP("electricity|NOx|Asthma symptoms cough", US_national_yearly!$D:$AM, 13, FALSE) / VLOOKUP("electricity|NOx|Asthma symptoms cough", US_national_yearly!$D:$AM, 10, FALSE), 1)</f>
        <v>9.6478792001904564E-5</v>
      </c>
      <c r="F6" s="7">
        <f>$B6 * IFERROR(VLOOKUP("electricity|NOx|Asthma symptoms cough", US_national_yearly!$D:$AM, 14, FALSE) / VLOOKUP("electricity|NOx|Asthma symptoms cough", US_national_yearly!$D:$AM, 10, FALSE), 1)</f>
        <v>9.7750928903551359E-5</v>
      </c>
      <c r="G6" s="7">
        <f>$B6 * IFERROR(VLOOKUP("electricity|NOx|Asthma symptoms cough", US_national_yearly!$D:$AM, 15, FALSE) / VLOOKUP("electricity|NOx|Asthma symptoms cough", US_national_yearly!$D:$AM, 10, FALSE), 1)</f>
        <v>9.8785243656139045E-5</v>
      </c>
      <c r="H6" s="7">
        <f>$B6 * IFERROR(VLOOKUP("electricity|NOx|Asthma symptoms cough", US_national_yearly!$D:$AM, 16, FALSE) / VLOOKUP("electricity|NOx|Asthma symptoms cough", US_national_yearly!$D:$AM, 10, FALSE), 1)</f>
        <v>9.9819558408726717E-5</v>
      </c>
      <c r="I6" s="7">
        <f>$B6 * IFERROR(VLOOKUP("electricity|NOx|Asthma symptoms cough", US_national_yearly!$D:$AM, 17, FALSE) / VLOOKUP("electricity|NOx|Asthma symptoms cough", US_national_yearly!$D:$AM, 10, FALSE), 1)</f>
        <v>1.002040525501741E-4</v>
      </c>
      <c r="J6" s="7">
        <f>$B6 * IFERROR(VLOOKUP("electricity|NOx|Asthma symptoms cough", US_national_yearly!$D:$AM, 18, FALSE) / VLOOKUP("electricity|NOx|Asthma symptoms cough", US_national_yearly!$D:$AM, 10, FALSE), 1)</f>
        <v>1.0058854669162146E-4</v>
      </c>
      <c r="K6" s="7">
        <f>$B6 * IFERROR(VLOOKUP("electricity|NOx|Asthma symptoms cough", US_national_yearly!$D:$AM, 19, FALSE) / VLOOKUP("electricity|NOx|Asthma symptoms cough", US_national_yearly!$D:$AM, 10, FALSE), 1)</f>
        <v>1.0097304083306886E-4</v>
      </c>
      <c r="L6" s="7">
        <f>$B6 * IFERROR(VLOOKUP("electricity|NOx|Asthma symptoms cough", US_national_yearly!$D:$AM, 20, FALSE) / VLOOKUP("electricity|NOx|Asthma symptoms cough", US_national_yearly!$D:$AM, 10, FALSE), 1)</f>
        <v>1.0135753497451624E-4</v>
      </c>
      <c r="M6" s="7">
        <f>$B6 * IFERROR(VLOOKUP("electricity|NOx|Asthma symptoms cough", US_national_yearly!$D:$AM, 21, FALSE) / VLOOKUP("electricity|NOx|Asthma symptoms cough", US_national_yearly!$D:$AM, 10, FALSE), 1)</f>
        <v>1.0174202911596363E-4</v>
      </c>
      <c r="N6" s="7">
        <f>$B6 * IFERROR(VLOOKUP("electricity|NOx|Asthma symptoms cough", US_national_yearly!$D:$AM, 22, FALSE) / VLOOKUP("electricity|NOx|Asthma symptoms cough", US_national_yearly!$D:$AM, 10, FALSE), 1)</f>
        <v>1.0216804542203316E-4</v>
      </c>
      <c r="O6" s="7">
        <f>$B6 * IFERROR(VLOOKUP("electricity|NOx|Asthma symptoms cough", US_national_yearly!$D:$AM, 23, FALSE) / VLOOKUP("electricity|NOx|Asthma symptoms cough", US_national_yearly!$D:$AM, 10, FALSE), 1)</f>
        <v>1.0259406172810271E-4</v>
      </c>
      <c r="P6" s="7">
        <f>$B6 * IFERROR(VLOOKUP("electricity|NOx|Asthma symptoms cough", US_national_yearly!$D:$AM, 24, FALSE) / VLOOKUP("electricity|NOx|Asthma symptoms cough", US_national_yearly!$D:$AM, 10, FALSE), 1)</f>
        <v>1.0302007803417224E-4</v>
      </c>
      <c r="Q6" s="7">
        <f>$B6 * IFERROR(VLOOKUP("electricity|NOx|Asthma symptoms cough", US_national_yearly!$D:$AM, 25, FALSE) / VLOOKUP("electricity|NOx|Asthma symptoms cough", US_national_yearly!$D:$AM, 10, FALSE), 1)</f>
        <v>1.0344609434024179E-4</v>
      </c>
      <c r="R6" s="7">
        <f>$B6 * IFERROR(VLOOKUP("electricity|NOx|Asthma symptoms cough", US_national_yearly!$D:$AM, 26, FALSE) / VLOOKUP("electricity|NOx|Asthma symptoms cough", US_national_yearly!$D:$AM, 10, FALSE), 1)</f>
        <v>1.0387211064631132E-4</v>
      </c>
      <c r="S6" s="7">
        <f>$B6 * IFERROR(VLOOKUP("electricity|NOx|Asthma symptoms cough", US_national_yearly!$D:$AM, 27, FALSE) / VLOOKUP("electricity|NOx|Asthma symptoms cough", US_national_yearly!$D:$AM, 10, FALSE), 1)</f>
        <v>1.0440360521907989E-4</v>
      </c>
      <c r="T6" s="7">
        <f>$B6 * IFERROR(VLOOKUP("electricity|NOx|Asthma symptoms cough", US_national_yearly!$D:$AM, 28, FALSE) / VLOOKUP("electricity|NOx|Asthma symptoms cough", US_national_yearly!$D:$AM, 10, FALSE), 1)</f>
        <v>1.0493509979184843E-4</v>
      </c>
      <c r="U6" s="7">
        <f>$B6 * IFERROR(VLOOKUP("electricity|NOx|Asthma symptoms cough", US_national_yearly!$D:$AM, 29, FALSE) / VLOOKUP("electricity|NOx|Asthma symptoms cough", US_national_yearly!$D:$AM, 10, FALSE), 1)</f>
        <v>1.0546659436461702E-4</v>
      </c>
      <c r="V6" s="7">
        <f>$B6 * IFERROR(VLOOKUP("electricity|NOx|Asthma symptoms cough", US_national_yearly!$D:$AM, 30, FALSE) / VLOOKUP("electricity|NOx|Asthma symptoms cough", US_national_yearly!$D:$AM, 10, FALSE), 1)</f>
        <v>1.0599808893738557E-4</v>
      </c>
      <c r="W6" s="7">
        <f>$B6 * IFERROR(VLOOKUP("electricity|NOx|Asthma symptoms cough", US_national_yearly!$D:$AM, 31, FALSE) / VLOOKUP("electricity|NOx|Asthma symptoms cough", US_national_yearly!$D:$AM, 10, FALSE), 1)</f>
        <v>1.0652958351015413E-4</v>
      </c>
      <c r="X6" s="7">
        <f>$B6 * IFERROR(VLOOKUP("electricity|NOx|Asthma symptoms cough", US_national_yearly!$D:$AM, 32, FALSE) / VLOOKUP("electricity|NOx|Asthma symptoms cough", US_national_yearly!$D:$AM, 10, FALSE), 1)</f>
        <v>1.0701925300786494E-4</v>
      </c>
      <c r="Y6" s="7">
        <f>$B6 * IFERROR(VLOOKUP("electricity|NOx|Asthma symptoms cough", US_national_yearly!$D:$AM, 33, FALSE) / VLOOKUP("electricity|NOx|Asthma symptoms cough", US_national_yearly!$D:$AM, 10, FALSE), 1)</f>
        <v>1.0750892250557577E-4</v>
      </c>
      <c r="Z6" s="7">
        <f>$B6 * IFERROR(VLOOKUP("electricity|NOx|Asthma symptoms cough", US_national_yearly!$D:$AM, 34, FALSE) / VLOOKUP("electricity|NOx|Asthma symptoms cough", US_national_yearly!$D:$AM, 10, FALSE), 1)</f>
        <v>1.0799859200328658E-4</v>
      </c>
      <c r="AA6" s="7">
        <f>$B6 * IFERROR(VLOOKUP("electricity|NOx|Asthma symptoms cough", US_national_yearly!$D:$AM, 35, FALSE) / VLOOKUP("electricity|NOx|Asthma symptoms cough", US_national_yearly!$D:$AM, 10, FALSE), 1)</f>
        <v>1.0848826150099739E-4</v>
      </c>
      <c r="AB6" s="7">
        <f>$B6 * IFERROR(VLOOKUP("electricity|NOx|Asthma symptoms cough", US_national_yearly!$D:$AM, 36, FALSE) / VLOOKUP("electricity|NOx|Asthma symptoms cough", US_national_yearly!$D:$AM, 10, FALSE), 1)</f>
        <v>1.0897793099870822E-4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1.2478350152468669E-4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1.2649662064043014E-4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1.2820973975617361E-4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1.2992285887191706E-4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1.3163597798766051E-4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1.3302883466039989E-4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1.3442169133313927E-4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1.3493946914282687E-4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1.3545724695251441E-4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1.3597502476220201E-4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1.3649280257188956E-4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1.3701058038157713E-4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1.3758427388293863E-4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1.3815796738430016E-4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1.3873166088566164E-4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1.3930535438702317E-4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1.3987904788838467E-4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1.4059478336340115E-4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1.4131051883841758E-4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1.4202625431343407E-4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1.4274198978845052E-4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1.4345772526346701E-4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1.441171371338618E-4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1.4477654900425663E-4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1.4543596087465143E-4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1.460953727450462E-4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1.4675478461544103E-4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1.9064746237089424E-4</v>
      </c>
      <c r="C8" s="7">
        <f>$B8 * IFERROR(VLOOKUP("electricity|NOx|Asthma symptoms wheeze", US_national_yearly!$D:$AM, 11, FALSE) / VLOOKUP("electricity|NOx|Asthma symptoms wheeze", US_national_yearly!$D:$AM, 10, FALSE), 1)</f>
        <v>1.9326481008665312E-4</v>
      </c>
      <c r="D8" s="7">
        <f>$B8 * IFERROR(VLOOKUP("electricity|NOx|Asthma symptoms wheeze", US_national_yearly!$D:$AM, 12, FALSE) / VLOOKUP("electricity|NOx|Asthma symptoms wheeze", US_national_yearly!$D:$AM, 10, FALSE), 1)</f>
        <v>1.9588215780241201E-4</v>
      </c>
      <c r="E8" s="7">
        <f>$B8 * IFERROR(VLOOKUP("electricity|NOx|Asthma symptoms wheeze", US_national_yearly!$D:$AM, 13, FALSE) / VLOOKUP("electricity|NOx|Asthma symptoms wheeze", US_national_yearly!$D:$AM, 10, FALSE), 1)</f>
        <v>1.984995055181709E-4</v>
      </c>
      <c r="F8" s="7">
        <f>$B8 * IFERROR(VLOOKUP("electricity|NOx|Asthma symptoms wheeze", US_national_yearly!$D:$AM, 14, FALSE) / VLOOKUP("electricity|NOx|Asthma symptoms wheeze", US_national_yearly!$D:$AM, 10, FALSE), 1)</f>
        <v>2.0111685323392982E-4</v>
      </c>
      <c r="G8" s="7">
        <f>$B8 * IFERROR(VLOOKUP("electricity|NOx|Asthma symptoms wheeze", US_national_yearly!$D:$AM, 15, FALSE) / VLOOKUP("electricity|NOx|Asthma symptoms wheeze", US_national_yearly!$D:$AM, 10, FALSE), 1)</f>
        <v>2.0324489570400955E-4</v>
      </c>
      <c r="H8" s="7">
        <f>$B8 * IFERROR(VLOOKUP("electricity|NOx|Asthma symptoms wheeze", US_national_yearly!$D:$AM, 16, FALSE) / VLOOKUP("electricity|NOx|Asthma symptoms wheeze", US_national_yearly!$D:$AM, 10, FALSE), 1)</f>
        <v>2.0537293817408933E-4</v>
      </c>
      <c r="I8" s="7">
        <f>$B8 * IFERROR(VLOOKUP("electricity|NOx|Asthma symptoms wheeze", US_national_yearly!$D:$AM, 17, FALSE) / VLOOKUP("electricity|NOx|Asthma symptoms wheeze", US_national_yearly!$D:$AM, 10, FALSE), 1)</f>
        <v>2.06164012515171E-4</v>
      </c>
      <c r="J8" s="7">
        <f>$B8 * IFERROR(VLOOKUP("electricity|NOx|Asthma symptoms wheeze", US_national_yearly!$D:$AM, 18, FALSE) / VLOOKUP("electricity|NOx|Asthma symptoms wheeze", US_national_yearly!$D:$AM, 10, FALSE), 1)</f>
        <v>2.0695508685625267E-4</v>
      </c>
      <c r="K8" s="7">
        <f>$B8 * IFERROR(VLOOKUP("electricity|NOx|Asthma symptoms wheeze", US_national_yearly!$D:$AM, 19, FALSE) / VLOOKUP("electricity|NOx|Asthma symptoms wheeze", US_national_yearly!$D:$AM, 10, FALSE), 1)</f>
        <v>2.077461611973344E-4</v>
      </c>
      <c r="L8" s="7">
        <f>$B8 * IFERROR(VLOOKUP("electricity|NOx|Asthma symptoms wheeze", US_national_yearly!$D:$AM, 20, FALSE) / VLOOKUP("electricity|NOx|Asthma symptoms wheeze", US_national_yearly!$D:$AM, 10, FALSE), 1)</f>
        <v>2.0853723553841607E-4</v>
      </c>
      <c r="M8" s="7">
        <f>$B8 * IFERROR(VLOOKUP("electricity|NOx|Asthma symptoms wheeze", US_national_yearly!$D:$AM, 21, FALSE) / VLOOKUP("electricity|NOx|Asthma symptoms wheeze", US_national_yearly!$D:$AM, 10, FALSE), 1)</f>
        <v>2.0932830987949774E-4</v>
      </c>
      <c r="N8" s="7">
        <f>$B8 * IFERROR(VLOOKUP("electricity|NOx|Asthma symptoms wheeze", US_national_yearly!$D:$AM, 22, FALSE) / VLOOKUP("electricity|NOx|Asthma symptoms wheeze", US_national_yearly!$D:$AM, 10, FALSE), 1)</f>
        <v>2.1020481366024044E-4</v>
      </c>
      <c r="O8" s="7">
        <f>$B8 * IFERROR(VLOOKUP("electricity|NOx|Asthma symptoms wheeze", US_national_yearly!$D:$AM, 23, FALSE) / VLOOKUP("electricity|NOx|Asthma symptoms wheeze", US_national_yearly!$D:$AM, 10, FALSE), 1)</f>
        <v>2.110813174409832E-4</v>
      </c>
      <c r="P8" s="7">
        <f>$B8 * IFERROR(VLOOKUP("electricity|NOx|Asthma symptoms wheeze", US_national_yearly!$D:$AM, 24, FALSE) / VLOOKUP("electricity|NOx|Asthma symptoms wheeze", US_national_yearly!$D:$AM, 10, FALSE), 1)</f>
        <v>2.1195782122172593E-4</v>
      </c>
      <c r="Q8" s="7">
        <f>$B8 * IFERROR(VLOOKUP("electricity|NOx|Asthma symptoms wheeze", US_national_yearly!$D:$AM, 25, FALSE) / VLOOKUP("electricity|NOx|Asthma symptoms wheeze", US_national_yearly!$D:$AM, 10, FALSE), 1)</f>
        <v>2.1283432500246867E-4</v>
      </c>
      <c r="R8" s="7">
        <f>$B8 * IFERROR(VLOOKUP("electricity|NOx|Asthma symptoms wheeze", US_national_yearly!$D:$AM, 26, FALSE) / VLOOKUP("electricity|NOx|Asthma symptoms wheeze", US_national_yearly!$D:$AM, 10, FALSE), 1)</f>
        <v>2.1371082878321137E-4</v>
      </c>
      <c r="S8" s="7">
        <f>$B8 * IFERROR(VLOOKUP("electricity|NOx|Asthma symptoms wheeze", US_national_yearly!$D:$AM, 27, FALSE) / VLOOKUP("electricity|NOx|Asthma symptoms wheeze", US_national_yearly!$D:$AM, 10, FALSE), 1)</f>
        <v>2.1480434796540304E-4</v>
      </c>
      <c r="T8" s="7">
        <f>$B8 * IFERROR(VLOOKUP("electricity|NOx|Asthma symptoms wheeze", US_national_yearly!$D:$AM, 28, FALSE) / VLOOKUP("electricity|NOx|Asthma symptoms wheeze", US_national_yearly!$D:$AM, 10, FALSE), 1)</f>
        <v>2.1589786714759475E-4</v>
      </c>
      <c r="U8" s="7">
        <f>$B8 * IFERROR(VLOOKUP("electricity|NOx|Asthma symptoms wheeze", US_national_yearly!$D:$AM, 29, FALSE) / VLOOKUP("electricity|NOx|Asthma symptoms wheeze", US_national_yearly!$D:$AM, 10, FALSE), 1)</f>
        <v>2.169913863297864E-4</v>
      </c>
      <c r="V8" s="7">
        <f>$B8 * IFERROR(VLOOKUP("electricity|NOx|Asthma symptoms wheeze", US_national_yearly!$D:$AM, 30, FALSE) / VLOOKUP("electricity|NOx|Asthma symptoms wheeze", US_national_yearly!$D:$AM, 10, FALSE), 1)</f>
        <v>2.180849055119781E-4</v>
      </c>
      <c r="W8" s="7">
        <f>$B8 * IFERROR(VLOOKUP("electricity|NOx|Asthma symptoms wheeze", US_national_yearly!$D:$AM, 31, FALSE) / VLOOKUP("electricity|NOx|Asthma symptoms wheeze", US_national_yearly!$D:$AM, 10, FALSE), 1)</f>
        <v>2.1917842469416977E-4</v>
      </c>
      <c r="X8" s="7">
        <f>$B8 * IFERROR(VLOOKUP("electricity|NOx|Asthma symptoms wheeze", US_national_yearly!$D:$AM, 32, FALSE) / VLOOKUP("electricity|NOx|Asthma symptoms wheeze", US_national_yearly!$D:$AM, 10, FALSE), 1)</f>
        <v>2.2018589121598753E-4</v>
      </c>
      <c r="Y8" s="7">
        <f>$B8 * IFERROR(VLOOKUP("electricity|NOx|Asthma symptoms wheeze", US_national_yearly!$D:$AM, 33, FALSE) / VLOOKUP("electricity|NOx|Asthma symptoms wheeze", US_national_yearly!$D:$AM, 10, FALSE), 1)</f>
        <v>2.2119335773780532E-4</v>
      </c>
      <c r="Z8" s="7">
        <f>$B8 * IFERROR(VLOOKUP("electricity|NOx|Asthma symptoms wheeze", US_national_yearly!$D:$AM, 34, FALSE) / VLOOKUP("electricity|NOx|Asthma symptoms wheeze", US_national_yearly!$D:$AM, 10, FALSE), 1)</f>
        <v>2.2220082425962302E-4</v>
      </c>
      <c r="AA8" s="7">
        <f>$B8 * IFERROR(VLOOKUP("electricity|NOx|Asthma symptoms wheeze", US_national_yearly!$D:$AM, 35, FALSE) / VLOOKUP("electricity|NOx|Asthma symptoms wheeze", US_national_yearly!$D:$AM, 10, FALSE), 1)</f>
        <v>2.232082907814408E-4</v>
      </c>
      <c r="AB8" s="7">
        <f>$B8 * IFERROR(VLOOKUP("electricity|NOx|Asthma symptoms wheeze", US_national_yearly!$D:$AM, 36, FALSE) / VLOOKUP("electricity|NOx|Asthma symptoms wheeze", US_national_yearly!$D:$AM, 10, FALSE), 1)</f>
        <v>2.2421575730325856E-4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2.3955790589677703E-6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2.4569338398531237E-6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2.5182886207384771E-6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2.5796434016238305E-6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2.640998182509183E-6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2.7000616252269047E-6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2.7591250679446268E-6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2.8099147696281445E-6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2.8607044713116618E-6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2.9114941729951807E-6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2.9622838746786984E-6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3.0130735763622166E-6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3.0478803966968706E-6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3.0826872170315251E-6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3.1174940373661792E-6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3.1523008577008333E-6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3.1871076780354873E-6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3.2069312726646995E-6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3.2267548672939124E-6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3.2465784619231241E-6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3.2664020565523362E-6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3.2862256511815483E-6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3.3006442553650076E-6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3.315062859548466E-6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3.3294814637319261E-6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3.3439000679153849E-6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3.3583186720988437E-6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1.4215908988063971E-5</v>
      </c>
      <c r="C13" s="7">
        <f>$B13 * IFERROR(VLOOKUP("electricity|NOx|Non-fatal heart attacks", US_national_yearly!$D:$AM, 11, FALSE) / VLOOKUP("electricity|NOx|Non-fatal heart attacks", US_national_yearly!$D:$AM, 10, FALSE), 1)</f>
        <v>1.4623866411910573E-5</v>
      </c>
      <c r="D13" s="7">
        <f>$B13 * IFERROR(VLOOKUP("electricity|NOx|Non-fatal heart attacks", US_national_yearly!$D:$AM, 12, FALSE) / VLOOKUP("electricity|NOx|Non-fatal heart attacks", US_national_yearly!$D:$AM, 10, FALSE), 1)</f>
        <v>1.5031823835757175E-5</v>
      </c>
      <c r="E13" s="7">
        <f>$B13 * IFERROR(VLOOKUP("electricity|NOx|Non-fatal heart attacks", US_national_yearly!$D:$AM, 13, FALSE) / VLOOKUP("electricity|NOx|Non-fatal heart attacks", US_national_yearly!$D:$AM, 10, FALSE), 1)</f>
        <v>1.5439781259603779E-5</v>
      </c>
      <c r="F13" s="7">
        <f>$B13 * IFERROR(VLOOKUP("electricity|NOx|Non-fatal heart attacks", US_national_yearly!$D:$AM, 14, FALSE) / VLOOKUP("electricity|NOx|Non-fatal heart attacks", US_national_yearly!$D:$AM, 10, FALSE), 1)</f>
        <v>1.5847738683450385E-5</v>
      </c>
      <c r="G13" s="7">
        <f>$B13 * IFERROR(VLOOKUP("electricity|NOx|Non-fatal heart attacks", US_national_yearly!$D:$AM, 15, FALSE) / VLOOKUP("electricity|NOx|Non-fatal heart attacks", US_national_yearly!$D:$AM, 10, FALSE), 1)</f>
        <v>1.6232050229365365E-5</v>
      </c>
      <c r="H13" s="7">
        <f>$B13 * IFERROR(VLOOKUP("electricity|NOx|Non-fatal heart attacks", US_national_yearly!$D:$AM, 16, FALSE) / VLOOKUP("electricity|NOx|Non-fatal heart attacks", US_national_yearly!$D:$AM, 10, FALSE), 1)</f>
        <v>1.6616361775280348E-5</v>
      </c>
      <c r="I13" s="7">
        <f>$B13 * IFERROR(VLOOKUP("electricity|NOx|Non-fatal heart attacks", US_national_yearly!$D:$AM, 17, FALSE) / VLOOKUP("electricity|NOx|Non-fatal heart attacks", US_national_yearly!$D:$AM, 10, FALSE), 1)</f>
        <v>1.69245407545683E-5</v>
      </c>
      <c r="J13" s="7">
        <f>$B13 * IFERROR(VLOOKUP("electricity|NOx|Non-fatal heart attacks", US_national_yearly!$D:$AM, 18, FALSE) / VLOOKUP("electricity|NOx|Non-fatal heart attacks", US_national_yearly!$D:$AM, 10, FALSE), 1)</f>
        <v>1.7232719733856251E-5</v>
      </c>
      <c r="K13" s="7">
        <f>$B13 * IFERROR(VLOOKUP("electricity|NOx|Non-fatal heart attacks", US_national_yearly!$D:$AM, 19, FALSE) / VLOOKUP("electricity|NOx|Non-fatal heart attacks", US_national_yearly!$D:$AM, 10, FALSE), 1)</f>
        <v>1.7540898713144185E-5</v>
      </c>
      <c r="L13" s="7">
        <f>$B13 * IFERROR(VLOOKUP("electricity|NOx|Non-fatal heart attacks", US_national_yearly!$D:$AM, 20, FALSE) / VLOOKUP("electricity|NOx|Non-fatal heart attacks", US_national_yearly!$D:$AM, 10, FALSE), 1)</f>
        <v>1.7849077692432137E-5</v>
      </c>
      <c r="M13" s="7">
        <f>$B13 * IFERROR(VLOOKUP("electricity|NOx|Non-fatal heart attacks", US_national_yearly!$D:$AM, 21, FALSE) / VLOOKUP("electricity|NOx|Non-fatal heart attacks", US_national_yearly!$D:$AM, 10, FALSE), 1)</f>
        <v>1.8157256671720088E-5</v>
      </c>
      <c r="N13" s="7">
        <f>$B13 * IFERROR(VLOOKUP("electricity|NOx|Non-fatal heart attacks", US_national_yearly!$D:$AM, 22, FALSE) / VLOOKUP("electricity|NOx|Non-fatal heart attacks", US_national_yearly!$D:$AM, 10, FALSE), 1)</f>
        <v>1.8347317051419877E-5</v>
      </c>
      <c r="O13" s="7">
        <f>$B13 * IFERROR(VLOOKUP("electricity|NOx|Non-fatal heart attacks", US_national_yearly!$D:$AM, 23, FALSE) / VLOOKUP("electricity|NOx|Non-fatal heart attacks", US_national_yearly!$D:$AM, 10, FALSE), 1)</f>
        <v>1.8537377431119672E-5</v>
      </c>
      <c r="P13" s="7">
        <f>$B13 * IFERROR(VLOOKUP("electricity|NOx|Non-fatal heart attacks", US_national_yearly!$D:$AM, 24, FALSE) / VLOOKUP("electricity|NOx|Non-fatal heart attacks", US_national_yearly!$D:$AM, 10, FALSE), 1)</f>
        <v>1.8727437810819461E-5</v>
      </c>
      <c r="Q13" s="7">
        <f>$B13 * IFERROR(VLOOKUP("electricity|NOx|Non-fatal heart attacks", US_national_yearly!$D:$AM, 25, FALSE) / VLOOKUP("electricity|NOx|Non-fatal heart attacks", US_national_yearly!$D:$AM, 10, FALSE), 1)</f>
        <v>1.8917498190519253E-5</v>
      </c>
      <c r="R13" s="7">
        <f>$B13 * IFERROR(VLOOKUP("electricity|NOx|Non-fatal heart attacks", US_national_yearly!$D:$AM, 26, FALSE) / VLOOKUP("electricity|NOx|Non-fatal heart attacks", US_national_yearly!$D:$AM, 10, FALSE), 1)</f>
        <v>1.9107558570219044E-5</v>
      </c>
      <c r="S13" s="7">
        <f>$B13 * IFERROR(VLOOKUP("electricity|NOx|Non-fatal heart attacks", US_national_yearly!$D:$AM, 27, FALSE) / VLOOKUP("electricity|NOx|Non-fatal heart attacks", US_national_yearly!$D:$AM, 10, FALSE), 1)</f>
        <v>1.9200421438550957E-5</v>
      </c>
      <c r="T13" s="7">
        <f>$B13 * IFERROR(VLOOKUP("electricity|NOx|Non-fatal heart attacks", US_national_yearly!$D:$AM, 28, FALSE) / VLOOKUP("electricity|NOx|Non-fatal heart attacks", US_national_yearly!$D:$AM, 10, FALSE), 1)</f>
        <v>1.9293284306882869E-5</v>
      </c>
      <c r="U13" s="7">
        <f>$B13 * IFERROR(VLOOKUP("electricity|NOx|Non-fatal heart attacks", US_national_yearly!$D:$AM, 29, FALSE) / VLOOKUP("electricity|NOx|Non-fatal heart attacks", US_national_yearly!$D:$AM, 10, FALSE), 1)</f>
        <v>1.9386147175214788E-5</v>
      </c>
      <c r="V13" s="7">
        <f>$B13 * IFERROR(VLOOKUP("electricity|NOx|Non-fatal heart attacks", US_national_yearly!$D:$AM, 30, FALSE) / VLOOKUP("electricity|NOx|Non-fatal heart attacks", US_national_yearly!$D:$AM, 10, FALSE), 1)</f>
        <v>1.9479010043546697E-5</v>
      </c>
      <c r="W13" s="7">
        <f>$B13 * IFERROR(VLOOKUP("electricity|NOx|Non-fatal heart attacks", US_national_yearly!$D:$AM, 31, FALSE) / VLOOKUP("electricity|NOx|Non-fatal heart attacks", US_national_yearly!$D:$AM, 10, FALSE), 1)</f>
        <v>1.9571872911878617E-5</v>
      </c>
      <c r="X13" s="7">
        <f>$B13 * IFERROR(VLOOKUP("electricity|NOx|Non-fatal heart attacks", US_national_yearly!$D:$AM, 32, FALSE) / VLOOKUP("electricity|NOx|Non-fatal heart attacks", US_national_yearly!$D:$AM, 10, FALSE), 1)</f>
        <v>1.9636688726131786E-5</v>
      </c>
      <c r="Y13" s="7">
        <f>$B13 * IFERROR(VLOOKUP("electricity|NOx|Non-fatal heart attacks", US_national_yearly!$D:$AM, 33, FALSE) / VLOOKUP("electricity|NOx|Non-fatal heart attacks", US_national_yearly!$D:$AM, 10, FALSE), 1)</f>
        <v>1.9701504540384959E-5</v>
      </c>
      <c r="Z13" s="7">
        <f>$B13 * IFERROR(VLOOKUP("electricity|NOx|Non-fatal heart attacks", US_national_yearly!$D:$AM, 34, FALSE) / VLOOKUP("electricity|NOx|Non-fatal heart attacks", US_national_yearly!$D:$AM, 10, FALSE), 1)</f>
        <v>1.9766320354638128E-5</v>
      </c>
      <c r="AA13" s="7">
        <f>$B13 * IFERROR(VLOOKUP("electricity|NOx|Non-fatal heart attacks", US_national_yearly!$D:$AM, 35, FALSE) / VLOOKUP("electricity|NOx|Non-fatal heart attacks", US_national_yearly!$D:$AM, 10, FALSE), 1)</f>
        <v>1.9831136168891298E-5</v>
      </c>
      <c r="AB13" s="7">
        <f>$B13 * IFERROR(VLOOKUP("electricity|NOx|Non-fatal heart attacks", US_national_yearly!$D:$AM, 36, FALSE) / VLOOKUP("electricity|NOx|Non-fatal heart attacks", US_national_yearly!$D:$AM, 10, FALSE), 1)</f>
        <v>1.9895951983144471E-5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1.1005466550395028E-2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1.1022340333554271E-2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1.1039214116713514E-2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1.1056087899872757E-2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1.1072961683032002E-2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1.110239545753444E-2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1.1131829232036877E-2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1.119006375556004E-2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1.12482982790832E-2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1.1306532802606364E-2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1.1364767326129524E-2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1.1423001849652689E-2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1.1507213863552423E-2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1.1591425877452153E-2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1.1675637891351884E-2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1.1759849905251618E-2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1.1844061919151352E-2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1.1928910771451079E-2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1.2013759623750809E-2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1.2098608476050538E-2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1.2183457328350267E-2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1.2268306180649995E-2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1.2340063164558546E-2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1.241182014846709E-2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1.2483577132375651E-2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1.2555334116284199E-2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1.2627091100192748E-2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1.863487992733947E-3</v>
      </c>
      <c r="C15" s="7">
        <f>$B15 * IFERROR(VLOOKUP("electricity|NOx|Work loss days", US_national_yearly!$D:$AM, 11, FALSE) / VLOOKUP("electricity|NOx|Work loss days", US_national_yearly!$D:$AM, 10, FALSE), 1)</f>
        <v>1.8676442369690272E-3</v>
      </c>
      <c r="D15" s="7">
        <f>$B15 * IFERROR(VLOOKUP("electricity|NOx|Work loss days", US_national_yearly!$D:$AM, 12, FALSE) / VLOOKUP("electricity|NOx|Work loss days", US_national_yearly!$D:$AM, 10, FALSE), 1)</f>
        <v>1.8718004812041072E-3</v>
      </c>
      <c r="E15" s="7">
        <f>$B15 * IFERROR(VLOOKUP("electricity|NOx|Work loss days", US_national_yearly!$D:$AM, 13, FALSE) / VLOOKUP("electricity|NOx|Work loss days", US_national_yearly!$D:$AM, 10, FALSE), 1)</f>
        <v>1.8759567254391875E-3</v>
      </c>
      <c r="F15" s="7">
        <f>$B15 * IFERROR(VLOOKUP("electricity|NOx|Work loss days", US_national_yearly!$D:$AM, 14, FALSE) / VLOOKUP("electricity|NOx|Work loss days", US_national_yearly!$D:$AM, 10, FALSE), 1)</f>
        <v>1.8801129696742677E-3</v>
      </c>
      <c r="G15" s="7">
        <f>$B15 * IFERROR(VLOOKUP("electricity|NOx|Work loss days", US_national_yearly!$D:$AM, 15, FALSE) / VLOOKUP("electricity|NOx|Work loss days", US_national_yearly!$D:$AM, 10, FALSE), 1)</f>
        <v>1.8859723212606943E-3</v>
      </c>
      <c r="H15" s="7">
        <f>$B15 * IFERROR(VLOOKUP("electricity|NOx|Work loss days", US_national_yearly!$D:$AM, 16, FALSE) / VLOOKUP("electricity|NOx|Work loss days", US_national_yearly!$D:$AM, 10, FALSE), 1)</f>
        <v>1.8918316728471208E-3</v>
      </c>
      <c r="I15" s="7">
        <f>$B15 * IFERROR(VLOOKUP("electricity|NOx|Work loss days", US_national_yearly!$D:$AM, 17, FALSE) / VLOOKUP("electricity|NOx|Work loss days", US_national_yearly!$D:$AM, 10, FALSE), 1)</f>
        <v>1.9013456868949747E-3</v>
      </c>
      <c r="J15" s="7">
        <f>$B15 * IFERROR(VLOOKUP("electricity|NOx|Work loss days", US_national_yearly!$D:$AM, 18, FALSE) / VLOOKUP("electricity|NOx|Work loss days", US_national_yearly!$D:$AM, 10, FALSE), 1)</f>
        <v>1.9108597009428285E-3</v>
      </c>
      <c r="K15" s="7">
        <f>$B15 * IFERROR(VLOOKUP("electricity|NOx|Work loss days", US_national_yearly!$D:$AM, 19, FALSE) / VLOOKUP("electricity|NOx|Work loss days", US_national_yearly!$D:$AM, 10, FALSE), 1)</f>
        <v>1.9203737149906821E-3</v>
      </c>
      <c r="L15" s="7">
        <f>$B15 * IFERROR(VLOOKUP("electricity|NOx|Work loss days", US_national_yearly!$D:$AM, 20, FALSE) / VLOOKUP("electricity|NOx|Work loss days", US_national_yearly!$D:$AM, 10, FALSE), 1)</f>
        <v>1.9298877290385354E-3</v>
      </c>
      <c r="M15" s="7">
        <f>$B15 * IFERROR(VLOOKUP("electricity|NOx|Work loss days", US_national_yearly!$D:$AM, 21, FALSE) / VLOOKUP("electricity|NOx|Work loss days", US_national_yearly!$D:$AM, 10, FALSE), 1)</f>
        <v>1.939401743086389E-3</v>
      </c>
      <c r="N15" s="7">
        <f>$B15 * IFERROR(VLOOKUP("electricity|NOx|Work loss days", US_national_yearly!$D:$AM, 22, FALSE) / VLOOKUP("electricity|NOx|Work loss days", US_national_yearly!$D:$AM, 10, FALSE), 1)</f>
        <v>1.9519542388820299E-3</v>
      </c>
      <c r="O15" s="7">
        <f>$B15 * IFERROR(VLOOKUP("electricity|NOx|Work loss days", US_national_yearly!$D:$AM, 23, FALSE) / VLOOKUP("electricity|NOx|Work loss days", US_national_yearly!$D:$AM, 10, FALSE), 1)</f>
        <v>1.9645067346776707E-3</v>
      </c>
      <c r="P15" s="7">
        <f>$B15 * IFERROR(VLOOKUP("electricity|NOx|Work loss days", US_national_yearly!$D:$AM, 24, FALSE) / VLOOKUP("electricity|NOx|Work loss days", US_national_yearly!$D:$AM, 10, FALSE), 1)</f>
        <v>1.9770592304733121E-3</v>
      </c>
      <c r="Q15" s="7">
        <f>$B15 * IFERROR(VLOOKUP("electricity|NOx|Work loss days", US_national_yearly!$D:$AM, 25, FALSE) / VLOOKUP("electricity|NOx|Work loss days", US_national_yearly!$D:$AM, 10, FALSE), 1)</f>
        <v>1.989611726268953E-3</v>
      </c>
      <c r="R15" s="7">
        <f>$B15 * IFERROR(VLOOKUP("electricity|NOx|Work loss days", US_national_yearly!$D:$AM, 26, FALSE) / VLOOKUP("electricity|NOx|Work loss days", US_national_yearly!$D:$AM, 10, FALSE), 1)</f>
        <v>2.0021642220645931E-3</v>
      </c>
      <c r="S15" s="7">
        <f>$B15 * IFERROR(VLOOKUP("electricity|NOx|Work loss days", US_national_yearly!$D:$AM, 27, FALSE) / VLOOKUP("electricity|NOx|Work loss days", US_national_yearly!$D:$AM, 10, FALSE), 1)</f>
        <v>2.0162308920401847E-3</v>
      </c>
      <c r="T15" s="7">
        <f>$B15 * IFERROR(VLOOKUP("electricity|NOx|Work loss days", US_national_yearly!$D:$AM, 28, FALSE) / VLOOKUP("electricity|NOx|Work loss days", US_national_yearly!$D:$AM, 10, FALSE), 1)</f>
        <v>2.0302975620157758E-3</v>
      </c>
      <c r="U15" s="7">
        <f>$B15 * IFERROR(VLOOKUP("electricity|NOx|Work loss days", US_national_yearly!$D:$AM, 29, FALSE) / VLOOKUP("electricity|NOx|Work loss days", US_national_yearly!$D:$AM, 10, FALSE), 1)</f>
        <v>2.0443642319913666E-3</v>
      </c>
      <c r="V15" s="7">
        <f>$B15 * IFERROR(VLOOKUP("electricity|NOx|Work loss days", US_national_yearly!$D:$AM, 30, FALSE) / VLOOKUP("electricity|NOx|Work loss days", US_national_yearly!$D:$AM, 10, FALSE), 1)</f>
        <v>2.0584309019669577E-3</v>
      </c>
      <c r="W15" s="7">
        <f>$B15 * IFERROR(VLOOKUP("electricity|NOx|Work loss days", US_national_yearly!$D:$AM, 31, FALSE) / VLOOKUP("electricity|NOx|Work loss days", US_national_yearly!$D:$AM, 10, FALSE), 1)</f>
        <v>2.0724975719425493E-3</v>
      </c>
      <c r="X15" s="7">
        <f>$B15 * IFERROR(VLOOKUP("electricity|NOx|Work loss days", US_national_yearly!$D:$AM, 32, FALSE) / VLOOKUP("electricity|NOx|Work loss days", US_national_yearly!$D:$AM, 10, FALSE), 1)</f>
        <v>2.0847595490640176E-3</v>
      </c>
      <c r="Y15" s="7">
        <f>$B15 * IFERROR(VLOOKUP("electricity|NOx|Work loss days", US_national_yearly!$D:$AM, 33, FALSE) / VLOOKUP("electricity|NOx|Work loss days", US_national_yearly!$D:$AM, 10, FALSE), 1)</f>
        <v>2.0970215261854864E-3</v>
      </c>
      <c r="Z15" s="7">
        <f>$B15 * IFERROR(VLOOKUP("electricity|NOx|Work loss days", US_national_yearly!$D:$AM, 34, FALSE) / VLOOKUP("electricity|NOx|Work loss days", US_national_yearly!$D:$AM, 10, FALSE), 1)</f>
        <v>2.1092835033069547E-3</v>
      </c>
      <c r="AA15" s="7">
        <f>$B15 * IFERROR(VLOOKUP("electricity|NOx|Work loss days", US_national_yearly!$D:$AM, 35, FALSE) / VLOOKUP("electricity|NOx|Work loss days", US_national_yearly!$D:$AM, 10, FALSE), 1)</f>
        <v>2.1215454804284235E-3</v>
      </c>
      <c r="AB15" s="7">
        <f>$B15 * IFERROR(VLOOKUP("electricity|NOx|Work loss days", US_national_yearly!$D:$AM, 36, FALSE) / VLOOKUP("electricity|NOx|Work loss days", US_national_yearly!$D:$AM, 10, FALSE), 1)</f>
        <v>2.1338074575498922E-3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3.476013364279252E-6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3.5784050156696206E-6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3.6807966670599901E-6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3.7831883184503592E-6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3.8855799698407287E-6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3.9836279260815669E-6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4.0816758823224051E-6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4.1653648462408747E-6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4.249053810159346E-6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4.3327427740778165E-6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4.4164317379962878E-6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4.5001207019147574E-6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4.5538299460266311E-6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4.6075391901385047E-6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4.6612484342503784E-6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4.714957678362252E-6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4.7686669224741257E-6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4.7950981880300517E-6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4.8215294535859769E-6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4.8479607191419029E-6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4.874391984697829E-6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4.900823250253755E-6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4.9166645116568482E-6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4.9325057730599414E-6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4.9483470344630355E-6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4.9641882958661287E-6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4.9800295572692219E-6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9.6179471200811655E-3</v>
      </c>
      <c r="C2" s="7">
        <f>$B2 * IFERROR(VLOOKUP("electricity|SO2|Premature mortality", US_national_yearly!$D:$AM, 11, FALSE) / VLOOKUP("electricity|SO2|Premature mortality", US_national_yearly!$D:$AM, 10, FALSE), 1)</f>
        <v>9.7412514210836378E-3</v>
      </c>
      <c r="D2" s="7">
        <f>$B2 * IFERROR(VLOOKUP("electricity|SO2|Premature mortality", US_national_yearly!$D:$AM, 12, FALSE) / VLOOKUP("electricity|SO2|Premature mortality", US_national_yearly!$D:$AM, 10, FALSE), 1)</f>
        <v>9.8645557220861085E-3</v>
      </c>
      <c r="E2" s="7">
        <f>$B2 * IFERROR(VLOOKUP("electricity|SO2|Premature mortality", US_national_yearly!$D:$AM, 13, FALSE) / VLOOKUP("electricity|SO2|Premature mortality", US_national_yearly!$D:$AM, 10, FALSE), 1)</f>
        <v>9.9878600230885808E-3</v>
      </c>
      <c r="F2" s="7">
        <f>$B2 * IFERROR(VLOOKUP("electricity|SO2|Premature mortality", US_national_yearly!$D:$AM, 14, FALSE) / VLOOKUP("electricity|SO2|Premature mortality", US_national_yearly!$D:$AM, 10, FALSE), 1)</f>
        <v>1.0111164324091051E-2</v>
      </c>
      <c r="G2" s="7">
        <f>$B2 * IFERROR(VLOOKUP("electricity|SO2|Premature mortality", US_national_yearly!$D:$AM, 15, FALSE) / VLOOKUP("electricity|SO2|Premature mortality", US_national_yearly!$D:$AM, 10, FALSE), 1)</f>
        <v>1.0348697864636195E-2</v>
      </c>
      <c r="H2" s="7">
        <f>$B2 * IFERROR(VLOOKUP("electricity|SO2|Premature mortality", US_national_yearly!$D:$AM, 16, FALSE) / VLOOKUP("electricity|SO2|Premature mortality", US_national_yearly!$D:$AM, 10, FALSE), 1)</f>
        <v>1.0586231405181336E-2</v>
      </c>
      <c r="I2" s="7">
        <f>$B2 * IFERROR(VLOOKUP("electricity|SO2|Premature mortality", US_national_yearly!$D:$AM, 17, FALSE) / VLOOKUP("electricity|SO2|Premature mortality", US_national_yearly!$D:$AM, 10, FALSE), 1)</f>
        <v>1.074612428525429E-2</v>
      </c>
      <c r="J2" s="7">
        <f>$B2 * IFERROR(VLOOKUP("electricity|SO2|Premature mortality", US_national_yearly!$D:$AM, 18, FALSE) / VLOOKUP("electricity|SO2|Premature mortality", US_national_yearly!$D:$AM, 10, FALSE), 1)</f>
        <v>1.0906017165327244E-2</v>
      </c>
      <c r="K2" s="7">
        <f>$B2 * IFERROR(VLOOKUP("electricity|SO2|Premature mortality", US_national_yearly!$D:$AM, 19, FALSE) / VLOOKUP("electricity|SO2|Premature mortality", US_national_yearly!$D:$AM, 10, FALSE), 1)</f>
        <v>1.1065910045400194E-2</v>
      </c>
      <c r="L2" s="7">
        <f>$B2 * IFERROR(VLOOKUP("electricity|SO2|Premature mortality", US_national_yearly!$D:$AM, 20, FALSE) / VLOOKUP("electricity|SO2|Premature mortality", US_national_yearly!$D:$AM, 10, FALSE), 1)</f>
        <v>1.1225802925473151E-2</v>
      </c>
      <c r="M2" s="7">
        <f>$B2 * IFERROR(VLOOKUP("electricity|SO2|Premature mortality", US_national_yearly!$D:$AM, 21, FALSE) / VLOOKUP("electricity|SO2|Premature mortality", US_national_yearly!$D:$AM, 10, FALSE), 1)</f>
        <v>1.1385695805546102E-2</v>
      </c>
      <c r="N2" s="7">
        <f>$B2 * IFERROR(VLOOKUP("electricity|SO2|Premature mortality", US_national_yearly!$D:$AM, 22, FALSE) / VLOOKUP("electricity|SO2|Premature mortality", US_national_yearly!$D:$AM, 10, FALSE), 1)</f>
        <v>1.1513837204764933E-2</v>
      </c>
      <c r="O2" s="7">
        <f>$B2 * IFERROR(VLOOKUP("electricity|SO2|Premature mortality", US_national_yearly!$D:$AM, 23, FALSE) / VLOOKUP("electricity|SO2|Premature mortality", US_national_yearly!$D:$AM, 10, FALSE), 1)</f>
        <v>1.1641978603983767E-2</v>
      </c>
      <c r="P2" s="7">
        <f>$B2 * IFERROR(VLOOKUP("electricity|SO2|Premature mortality", US_national_yearly!$D:$AM, 24, FALSE) / VLOOKUP("electricity|SO2|Premature mortality", US_national_yearly!$D:$AM, 10, FALSE), 1)</f>
        <v>1.1770120003202596E-2</v>
      </c>
      <c r="Q2" s="7">
        <f>$B2 * IFERROR(VLOOKUP("electricity|SO2|Premature mortality", US_national_yearly!$D:$AM, 25, FALSE) / VLOOKUP("electricity|SO2|Premature mortality", US_national_yearly!$D:$AM, 10, FALSE), 1)</f>
        <v>1.1898261402421426E-2</v>
      </c>
      <c r="R2" s="7">
        <f>$B2 * IFERROR(VLOOKUP("electricity|SO2|Premature mortality", US_national_yearly!$D:$AM, 26, FALSE) / VLOOKUP("electricity|SO2|Premature mortality", US_national_yearly!$D:$AM, 10, FALSE), 1)</f>
        <v>1.2026402801640258E-2</v>
      </c>
      <c r="S2" s="7">
        <f>$B2 * IFERROR(VLOOKUP("electricity|SO2|Premature mortality", US_national_yearly!$D:$AM, 27, FALSE) / VLOOKUP("electricity|SO2|Premature mortality", US_national_yearly!$D:$AM, 10, FALSE), 1)</f>
        <v>1.2099870008764451E-2</v>
      </c>
      <c r="T2" s="7">
        <f>$B2 * IFERROR(VLOOKUP("electricity|SO2|Premature mortality", US_national_yearly!$D:$AM, 28, FALSE) / VLOOKUP("electricity|SO2|Premature mortality", US_national_yearly!$D:$AM, 10, FALSE), 1)</f>
        <v>1.2173337215888647E-2</v>
      </c>
      <c r="U2" s="7">
        <f>$B2 * IFERROR(VLOOKUP("electricity|SO2|Premature mortality", US_national_yearly!$D:$AM, 29, FALSE) / VLOOKUP("electricity|SO2|Premature mortality", US_national_yearly!$D:$AM, 10, FALSE), 1)</f>
        <v>1.224680442301284E-2</v>
      </c>
      <c r="V2" s="7">
        <f>$B2 * IFERROR(VLOOKUP("electricity|SO2|Premature mortality", US_national_yearly!$D:$AM, 30, FALSE) / VLOOKUP("electricity|SO2|Premature mortality", US_national_yearly!$D:$AM, 10, FALSE), 1)</f>
        <v>1.2320271630137035E-2</v>
      </c>
      <c r="W2" s="7">
        <f>$B2 * IFERROR(VLOOKUP("electricity|SO2|Premature mortality", US_national_yearly!$D:$AM, 31, FALSE) / VLOOKUP("electricity|SO2|Premature mortality", US_national_yearly!$D:$AM, 10, FALSE), 1)</f>
        <v>1.2393738837261227E-2</v>
      </c>
      <c r="X2" s="7">
        <f>$B2 * IFERROR(VLOOKUP("electricity|SO2|Premature mortality", US_national_yearly!$D:$AM, 32, FALSE) / VLOOKUP("electricity|SO2|Premature mortality", US_national_yearly!$D:$AM, 10, FALSE), 1)</f>
        <v>1.2415385631606718E-2</v>
      </c>
      <c r="Y2" s="7">
        <f>$B2 * IFERROR(VLOOKUP("electricity|SO2|Premature mortality", US_national_yearly!$D:$AM, 33, FALSE) / VLOOKUP("electricity|SO2|Premature mortality", US_national_yearly!$D:$AM, 10, FALSE), 1)</f>
        <v>1.2437032425952205E-2</v>
      </c>
      <c r="Z2" s="7">
        <f>$B2 * IFERROR(VLOOKUP("electricity|SO2|Premature mortality", US_national_yearly!$D:$AM, 34, FALSE) / VLOOKUP("electricity|SO2|Premature mortality", US_national_yearly!$D:$AM, 10, FALSE), 1)</f>
        <v>1.2458679220297692E-2</v>
      </c>
      <c r="AA2" s="7">
        <f>$B2 * IFERROR(VLOOKUP("electricity|SO2|Premature mortality", US_national_yearly!$D:$AM, 35, FALSE) / VLOOKUP("electricity|SO2|Premature mortality", US_national_yearly!$D:$AM, 10, FALSE), 1)</f>
        <v>1.2480326014643182E-2</v>
      </c>
      <c r="AB2" s="7">
        <f>$B2 * IFERROR(VLOOKUP("electricity|SO2|Premature mortality", US_national_yearly!$D:$AM, 36, FALSE) / VLOOKUP("electricity|SO2|Premature mortality", US_national_yearly!$D:$AM, 10, FALSE), 1)</f>
        <v>1.250197280898867E-2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2.2386690179570598E-5</v>
      </c>
      <c r="C3" s="7">
        <f>$B3 * IFERROR(VLOOKUP("electricity|SO2|Infant mortality", US_national_yearly!$D:$AM, 11, FALSE) / VLOOKUP("electricity|SO2|Infant mortality", US_national_yearly!$D:$AM, 10, FALSE), 1)</f>
        <v>2.2197565212829781E-5</v>
      </c>
      <c r="D3" s="7">
        <f>$B3 * IFERROR(VLOOKUP("electricity|SO2|Infant mortality", US_national_yearly!$D:$AM, 12, FALSE) / VLOOKUP("electricity|SO2|Infant mortality", US_national_yearly!$D:$AM, 10, FALSE), 1)</f>
        <v>2.200844024608896E-5</v>
      </c>
      <c r="E3" s="7">
        <f>$B3 * IFERROR(VLOOKUP("electricity|SO2|Infant mortality", US_national_yearly!$D:$AM, 13, FALSE) / VLOOKUP("electricity|SO2|Infant mortality", US_national_yearly!$D:$AM, 10, FALSE), 1)</f>
        <v>2.181931527934814E-5</v>
      </c>
      <c r="F3" s="7">
        <f>$B3 * IFERROR(VLOOKUP("electricity|SO2|Infant mortality", US_national_yearly!$D:$AM, 14, FALSE) / VLOOKUP("electricity|SO2|Infant mortality", US_national_yearly!$D:$AM, 10, FALSE), 1)</f>
        <v>2.1630190312607322E-5</v>
      </c>
      <c r="G3" s="7">
        <f>$B3 * IFERROR(VLOOKUP("electricity|SO2|Infant mortality", US_national_yearly!$D:$AM, 15, FALSE) / VLOOKUP("electricity|SO2|Infant mortality", US_national_yearly!$D:$AM, 10, FALSE), 1)</f>
        <v>1.4385197029142491E-5</v>
      </c>
      <c r="H3" s="7">
        <f>$B3 * IFERROR(VLOOKUP("electricity|SO2|Infant mortality", US_national_yearly!$D:$AM, 16, FALSE) / VLOOKUP("electricity|SO2|Infant mortality", US_national_yearly!$D:$AM, 10, FALSE), 1)</f>
        <v>7.1402037456776596E-6</v>
      </c>
      <c r="I3" s="7">
        <f>$B3 * IFERROR(VLOOKUP("electricity|SO2|Infant mortality", US_national_yearly!$D:$AM, 17, FALSE) / VLOOKUP("electricity|SO2|Infant mortality", US_national_yearly!$D:$AM, 10, FALSE), 1)</f>
        <v>7.0945244304521812E-6</v>
      </c>
      <c r="J3" s="7">
        <f>$B3 * IFERROR(VLOOKUP("electricity|SO2|Infant mortality", US_national_yearly!$D:$AM, 18, FALSE) / VLOOKUP("electricity|SO2|Infant mortality", US_national_yearly!$D:$AM, 10, FALSE), 1)</f>
        <v>7.0488451152267004E-6</v>
      </c>
      <c r="K3" s="7">
        <f>$B3 * IFERROR(VLOOKUP("electricity|SO2|Infant mortality", US_national_yearly!$D:$AM, 19, FALSE) / VLOOKUP("electricity|SO2|Infant mortality", US_national_yearly!$D:$AM, 10, FALSE), 1)</f>
        <v>7.0031658000012229E-6</v>
      </c>
      <c r="L3" s="7">
        <f>$B3 * IFERROR(VLOOKUP("electricity|SO2|Infant mortality", US_national_yearly!$D:$AM, 20, FALSE) / VLOOKUP("electricity|SO2|Infant mortality", US_national_yearly!$D:$AM, 10, FALSE), 1)</f>
        <v>6.9574864847757428E-6</v>
      </c>
      <c r="M3" s="7">
        <f>$B3 * IFERROR(VLOOKUP("electricity|SO2|Infant mortality", US_national_yearly!$D:$AM, 21, FALSE) / VLOOKUP("electricity|SO2|Infant mortality", US_national_yearly!$D:$AM, 10, FALSE), 1)</f>
        <v>6.9118071695502636E-6</v>
      </c>
      <c r="N3" s="7">
        <f>$B3 * IFERROR(VLOOKUP("electricity|SO2|Infant mortality", US_national_yearly!$D:$AM, 22, FALSE) / VLOOKUP("electricity|SO2|Infant mortality", US_national_yearly!$D:$AM, 10, FALSE), 1)</f>
        <v>6.8828627312345521E-6</v>
      </c>
      <c r="O3" s="7">
        <f>$B3 * IFERROR(VLOOKUP("electricity|SO2|Infant mortality", US_national_yearly!$D:$AM, 23, FALSE) / VLOOKUP("electricity|SO2|Infant mortality", US_national_yearly!$D:$AM, 10, FALSE), 1)</f>
        <v>6.8539182929188397E-6</v>
      </c>
      <c r="P3" s="7">
        <f>$B3 * IFERROR(VLOOKUP("electricity|SO2|Infant mortality", US_national_yearly!$D:$AM, 24, FALSE) / VLOOKUP("electricity|SO2|Infant mortality", US_national_yearly!$D:$AM, 10, FALSE), 1)</f>
        <v>6.8249738546031265E-6</v>
      </c>
      <c r="Q3" s="7">
        <f>$B3 * IFERROR(VLOOKUP("electricity|SO2|Infant mortality", US_national_yearly!$D:$AM, 25, FALSE) / VLOOKUP("electricity|SO2|Infant mortality", US_national_yearly!$D:$AM, 10, FALSE), 1)</f>
        <v>6.7960294162874159E-6</v>
      </c>
      <c r="R3" s="7">
        <f>$B3 * IFERROR(VLOOKUP("electricity|SO2|Infant mortality", US_national_yearly!$D:$AM, 26, FALSE) / VLOOKUP("electricity|SO2|Infant mortality", US_national_yearly!$D:$AM, 10, FALSE), 1)</f>
        <v>6.7670849779717043E-6</v>
      </c>
      <c r="S3" s="7">
        <f>$B3 * IFERROR(VLOOKUP("electricity|SO2|Infant mortality", US_national_yearly!$D:$AM, 27, FALSE) / VLOOKUP("electricity|SO2|Infant mortality", US_national_yearly!$D:$AM, 10, FALSE), 1)</f>
        <v>6.7310094031846065E-6</v>
      </c>
      <c r="T3" s="7">
        <f>$B3 * IFERROR(VLOOKUP("electricity|SO2|Infant mortality", US_national_yearly!$D:$AM, 28, FALSE) / VLOOKUP("electricity|SO2|Infant mortality", US_national_yearly!$D:$AM, 10, FALSE), 1)</f>
        <v>6.6949338283975095E-6</v>
      </c>
      <c r="U3" s="7">
        <f>$B3 * IFERROR(VLOOKUP("electricity|SO2|Infant mortality", US_national_yearly!$D:$AM, 29, FALSE) / VLOOKUP("electricity|SO2|Infant mortality", US_national_yearly!$D:$AM, 10, FALSE), 1)</f>
        <v>6.6588582536104134E-6</v>
      </c>
      <c r="V3" s="7">
        <f>$B3 * IFERROR(VLOOKUP("electricity|SO2|Infant mortality", US_national_yearly!$D:$AM, 30, FALSE) / VLOOKUP("electricity|SO2|Infant mortality", US_national_yearly!$D:$AM, 10, FALSE), 1)</f>
        <v>6.6227826788233164E-6</v>
      </c>
      <c r="W3" s="7">
        <f>$B3 * IFERROR(VLOOKUP("electricity|SO2|Infant mortality", US_national_yearly!$D:$AM, 31, FALSE) / VLOOKUP("electricity|SO2|Infant mortality", US_national_yearly!$D:$AM, 10, FALSE), 1)</f>
        <v>6.5867071040362186E-6</v>
      </c>
      <c r="X3" s="7">
        <f>$B3 * IFERROR(VLOOKUP("electricity|SO2|Infant mortality", US_national_yearly!$D:$AM, 32, FALSE) / VLOOKUP("electricity|SO2|Infant mortality", US_national_yearly!$D:$AM, 10, FALSE), 1)</f>
        <v>6.5482155221725207E-6</v>
      </c>
      <c r="Y3" s="7">
        <f>$B3 * IFERROR(VLOOKUP("electricity|SO2|Infant mortality", US_national_yearly!$D:$AM, 33, FALSE) / VLOOKUP("electricity|SO2|Infant mortality", US_national_yearly!$D:$AM, 10, FALSE), 1)</f>
        <v>6.5097239403088212E-6</v>
      </c>
      <c r="Z3" s="7">
        <f>$B3 * IFERROR(VLOOKUP("electricity|SO2|Infant mortality", US_national_yearly!$D:$AM, 34, FALSE) / VLOOKUP("electricity|SO2|Infant mortality", US_national_yearly!$D:$AM, 10, FALSE), 1)</f>
        <v>6.4712323584451233E-6</v>
      </c>
      <c r="AA3" s="7">
        <f>$B3 * IFERROR(VLOOKUP("electricity|SO2|Infant mortality", US_national_yearly!$D:$AM, 35, FALSE) / VLOOKUP("electricity|SO2|Infant mortality", US_national_yearly!$D:$AM, 10, FALSE), 1)</f>
        <v>6.4327407765814254E-6</v>
      </c>
      <c r="AB3" s="7">
        <f>$B3 * IFERROR(VLOOKUP("electricity|SO2|Infant mortality", US_national_yearly!$D:$AM, 36, FALSE) / VLOOKUP("electricity|SO2|Infant mortality", US_national_yearly!$D:$AM, 10, FALSE), 1)</f>
        <v>6.3942491947177267E-6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2.6078676345339186E-2</v>
      </c>
      <c r="C6" s="7">
        <f>$B6 * IFERROR(VLOOKUP("electricity|SO2|Asthma symptoms cough", US_national_yearly!$D:$AM, 11, FALSE) / VLOOKUP("electricity|SO2|Asthma symptoms cough", US_national_yearly!$D:$AM, 10, FALSE), 1)</f>
        <v>2.6078676345339186E-2</v>
      </c>
      <c r="D6" s="7">
        <f>$B6 * IFERROR(VLOOKUP("electricity|SO2|Asthma symptoms cough", US_national_yearly!$D:$AM, 12, FALSE) / VLOOKUP("electricity|SO2|Asthma symptoms cough", US_national_yearly!$D:$AM, 10, FALSE), 1)</f>
        <v>2.6078676345339186E-2</v>
      </c>
      <c r="E6" s="7">
        <f>$B6 * IFERROR(VLOOKUP("electricity|SO2|Asthma symptoms cough", US_national_yearly!$D:$AM, 13, FALSE) / VLOOKUP("electricity|SO2|Asthma symptoms cough", US_national_yearly!$D:$AM, 10, FALSE), 1)</f>
        <v>2.6078676345339186E-2</v>
      </c>
      <c r="F6" s="7">
        <f>$B6 * IFERROR(VLOOKUP("electricity|SO2|Asthma symptoms cough", US_national_yearly!$D:$AM, 14, FALSE) / VLOOKUP("electricity|SO2|Asthma symptoms cough", US_national_yearly!$D:$AM, 10, FALSE), 1)</f>
        <v>2.6078676345339186E-2</v>
      </c>
      <c r="G6" s="7">
        <f>$B6 * IFERROR(VLOOKUP("electricity|SO2|Asthma symptoms cough", US_national_yearly!$D:$AM, 15, FALSE) / VLOOKUP("electricity|SO2|Asthma symptoms cough", US_national_yearly!$D:$AM, 10, FALSE), 1)</f>
        <v>2.6078676345339186E-2</v>
      </c>
      <c r="H6" s="7">
        <f>$B6 * IFERROR(VLOOKUP("electricity|SO2|Asthma symptoms cough", US_national_yearly!$D:$AM, 16, FALSE) / VLOOKUP("electricity|SO2|Asthma symptoms cough", US_national_yearly!$D:$AM, 10, FALSE), 1)</f>
        <v>2.6078676345339186E-2</v>
      </c>
      <c r="I6" s="7">
        <f>$B6 * IFERROR(VLOOKUP("electricity|SO2|Asthma symptoms cough", US_national_yearly!$D:$AM, 17, FALSE) / VLOOKUP("electricity|SO2|Asthma symptoms cough", US_national_yearly!$D:$AM, 10, FALSE), 1)</f>
        <v>2.6078676345339186E-2</v>
      </c>
      <c r="J6" s="7">
        <f>$B6 * IFERROR(VLOOKUP("electricity|SO2|Asthma symptoms cough", US_national_yearly!$D:$AM, 18, FALSE) / VLOOKUP("electricity|SO2|Asthma symptoms cough", US_national_yearly!$D:$AM, 10, FALSE), 1)</f>
        <v>2.6078676345339186E-2</v>
      </c>
      <c r="K6" s="7">
        <f>$B6 * IFERROR(VLOOKUP("electricity|SO2|Asthma symptoms cough", US_national_yearly!$D:$AM, 19, FALSE) / VLOOKUP("electricity|SO2|Asthma symptoms cough", US_national_yearly!$D:$AM, 10, FALSE), 1)</f>
        <v>2.6078676345339186E-2</v>
      </c>
      <c r="L6" s="7">
        <f>$B6 * IFERROR(VLOOKUP("electricity|SO2|Asthma symptoms cough", US_national_yearly!$D:$AM, 20, FALSE) / VLOOKUP("electricity|SO2|Asthma symptoms cough", US_national_yearly!$D:$AM, 10, FALSE), 1)</f>
        <v>2.6078676345339186E-2</v>
      </c>
      <c r="M6" s="7">
        <f>$B6 * IFERROR(VLOOKUP("electricity|SO2|Asthma symptoms cough", US_national_yearly!$D:$AM, 21, FALSE) / VLOOKUP("electricity|SO2|Asthma symptoms cough", US_national_yearly!$D:$AM, 10, FALSE), 1)</f>
        <v>2.6078676345339186E-2</v>
      </c>
      <c r="N6" s="7">
        <f>$B6 * IFERROR(VLOOKUP("electricity|SO2|Asthma symptoms cough", US_national_yearly!$D:$AM, 22, FALSE) / VLOOKUP("electricity|SO2|Asthma symptoms cough", US_national_yearly!$D:$AM, 10, FALSE), 1)</f>
        <v>2.6078676345339186E-2</v>
      </c>
      <c r="O6" s="7">
        <f>$B6 * IFERROR(VLOOKUP("electricity|SO2|Asthma symptoms cough", US_national_yearly!$D:$AM, 23, FALSE) / VLOOKUP("electricity|SO2|Asthma symptoms cough", US_national_yearly!$D:$AM, 10, FALSE), 1)</f>
        <v>2.6078676345339186E-2</v>
      </c>
      <c r="P6" s="7">
        <f>$B6 * IFERROR(VLOOKUP("electricity|SO2|Asthma symptoms cough", US_national_yearly!$D:$AM, 24, FALSE) / VLOOKUP("electricity|SO2|Asthma symptoms cough", US_national_yearly!$D:$AM, 10, FALSE), 1)</f>
        <v>2.6078676345339186E-2</v>
      </c>
      <c r="Q6" s="7">
        <f>$B6 * IFERROR(VLOOKUP("electricity|SO2|Asthma symptoms cough", US_national_yearly!$D:$AM, 25, FALSE) / VLOOKUP("electricity|SO2|Asthma symptoms cough", US_national_yearly!$D:$AM, 10, FALSE), 1)</f>
        <v>2.6078676345339186E-2</v>
      </c>
      <c r="R6" s="7">
        <f>$B6 * IFERROR(VLOOKUP("electricity|SO2|Asthma symptoms cough", US_national_yearly!$D:$AM, 26, FALSE) / VLOOKUP("electricity|SO2|Asthma symptoms cough", US_national_yearly!$D:$AM, 10, FALSE), 1)</f>
        <v>2.6078676345339186E-2</v>
      </c>
      <c r="S6" s="7">
        <f>$B6 * IFERROR(VLOOKUP("electricity|SO2|Asthma symptoms cough", US_national_yearly!$D:$AM, 27, FALSE) / VLOOKUP("electricity|SO2|Asthma symptoms cough", US_national_yearly!$D:$AM, 10, FALSE), 1)</f>
        <v>2.6078676345339186E-2</v>
      </c>
      <c r="T6" s="7">
        <f>$B6 * IFERROR(VLOOKUP("electricity|SO2|Asthma symptoms cough", US_national_yearly!$D:$AM, 28, FALSE) / VLOOKUP("electricity|SO2|Asthma symptoms cough", US_national_yearly!$D:$AM, 10, FALSE), 1)</f>
        <v>2.6078676345339186E-2</v>
      </c>
      <c r="U6" s="7">
        <f>$B6 * IFERROR(VLOOKUP("electricity|SO2|Asthma symptoms cough", US_national_yearly!$D:$AM, 29, FALSE) / VLOOKUP("electricity|SO2|Asthma symptoms cough", US_national_yearly!$D:$AM, 10, FALSE), 1)</f>
        <v>2.6078676345339186E-2</v>
      </c>
      <c r="V6" s="7">
        <f>$B6 * IFERROR(VLOOKUP("electricity|SO2|Asthma symptoms cough", US_national_yearly!$D:$AM, 30, FALSE) / VLOOKUP("electricity|SO2|Asthma symptoms cough", US_national_yearly!$D:$AM, 10, FALSE), 1)</f>
        <v>2.6078676345339186E-2</v>
      </c>
      <c r="W6" s="7">
        <f>$B6 * IFERROR(VLOOKUP("electricity|SO2|Asthma symptoms cough", US_national_yearly!$D:$AM, 31, FALSE) / VLOOKUP("electricity|SO2|Asthma symptoms cough", US_national_yearly!$D:$AM, 10, FALSE), 1)</f>
        <v>2.6078676345339186E-2</v>
      </c>
      <c r="X6" s="7">
        <f>$B6 * IFERROR(VLOOKUP("electricity|SO2|Asthma symptoms cough", US_national_yearly!$D:$AM, 32, FALSE) / VLOOKUP("electricity|SO2|Asthma symptoms cough", US_national_yearly!$D:$AM, 10, FALSE), 1)</f>
        <v>2.6078676345339186E-2</v>
      </c>
      <c r="Y6" s="7">
        <f>$B6 * IFERROR(VLOOKUP("electricity|SO2|Asthma symptoms cough", US_national_yearly!$D:$AM, 33, FALSE) / VLOOKUP("electricity|SO2|Asthma symptoms cough", US_national_yearly!$D:$AM, 10, FALSE), 1)</f>
        <v>2.6078676345339186E-2</v>
      </c>
      <c r="Z6" s="7">
        <f>$B6 * IFERROR(VLOOKUP("electricity|SO2|Asthma symptoms cough", US_national_yearly!$D:$AM, 34, FALSE) / VLOOKUP("electricity|SO2|Asthma symptoms cough", US_national_yearly!$D:$AM, 10, FALSE), 1)</f>
        <v>2.6078676345339186E-2</v>
      </c>
      <c r="AA6" s="7">
        <f>$B6 * IFERROR(VLOOKUP("electricity|SO2|Asthma symptoms cough", US_national_yearly!$D:$AM, 35, FALSE) / VLOOKUP("electricity|SO2|Asthma symptoms cough", US_national_yearly!$D:$AM, 10, FALSE), 1)</f>
        <v>2.6078676345339186E-2</v>
      </c>
      <c r="AB6" s="7">
        <f>$B6 * IFERROR(VLOOKUP("electricity|SO2|Asthma symptoms cough", US_national_yearly!$D:$AM, 36, FALSE) / VLOOKUP("electricity|SO2|Asthma symptoms cough", US_national_yearly!$D:$AM, 10, FALSE), 1)</f>
        <v>2.6078676345339186E-2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3.5118760746856707E-2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3.5118760746856707E-2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3.5118760746856707E-2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3.5118760746856707E-2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3.5118760746856707E-2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3.5118760746856707E-2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3.5118760746856707E-2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3.5118760746856707E-2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3.5118760746856707E-2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3.5118760746856707E-2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3.5118760746856707E-2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3.5118760746856707E-2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3.5118760746856707E-2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3.5118760746856707E-2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3.5118760746856707E-2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3.5118760746856707E-2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3.5118760746856707E-2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3.5118760746856707E-2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3.5118760746856707E-2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3.5118760746856707E-2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3.5118760746856707E-2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3.5118760746856707E-2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3.5118760746856707E-2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3.5118760746856707E-2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3.5118760746856707E-2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3.5118760746856707E-2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3.5118760746856707E-2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5.365537633102304E-2</v>
      </c>
      <c r="C8" s="7">
        <f>$B8 * IFERROR(VLOOKUP("electricity|SO2|Asthma symptoms wheeze", US_national_yearly!$D:$AM, 11, FALSE) / VLOOKUP("electricity|SO2|Asthma symptoms wheeze", US_national_yearly!$D:$AM, 10, FALSE), 1)</f>
        <v>5.365537633102304E-2</v>
      </c>
      <c r="D8" s="7">
        <f>$B8 * IFERROR(VLOOKUP("electricity|SO2|Asthma symptoms wheeze", US_national_yearly!$D:$AM, 12, FALSE) / VLOOKUP("electricity|SO2|Asthma symptoms wheeze", US_national_yearly!$D:$AM, 10, FALSE), 1)</f>
        <v>5.365537633102304E-2</v>
      </c>
      <c r="E8" s="7">
        <f>$B8 * IFERROR(VLOOKUP("electricity|SO2|Asthma symptoms wheeze", US_national_yearly!$D:$AM, 13, FALSE) / VLOOKUP("electricity|SO2|Asthma symptoms wheeze", US_national_yearly!$D:$AM, 10, FALSE), 1)</f>
        <v>5.365537633102304E-2</v>
      </c>
      <c r="F8" s="7">
        <f>$B8 * IFERROR(VLOOKUP("electricity|SO2|Asthma symptoms wheeze", US_national_yearly!$D:$AM, 14, FALSE) / VLOOKUP("electricity|SO2|Asthma symptoms wheeze", US_national_yearly!$D:$AM, 10, FALSE), 1)</f>
        <v>5.365537633102304E-2</v>
      </c>
      <c r="G8" s="7">
        <f>$B8 * IFERROR(VLOOKUP("electricity|SO2|Asthma symptoms wheeze", US_national_yearly!$D:$AM, 15, FALSE) / VLOOKUP("electricity|SO2|Asthma symptoms wheeze", US_national_yearly!$D:$AM, 10, FALSE), 1)</f>
        <v>5.365537633102304E-2</v>
      </c>
      <c r="H8" s="7">
        <f>$B8 * IFERROR(VLOOKUP("electricity|SO2|Asthma symptoms wheeze", US_national_yearly!$D:$AM, 16, FALSE) / VLOOKUP("electricity|SO2|Asthma symptoms wheeze", US_national_yearly!$D:$AM, 10, FALSE), 1)</f>
        <v>5.365537633102304E-2</v>
      </c>
      <c r="I8" s="7">
        <f>$B8 * IFERROR(VLOOKUP("electricity|SO2|Asthma symptoms wheeze", US_national_yearly!$D:$AM, 17, FALSE) / VLOOKUP("electricity|SO2|Asthma symptoms wheeze", US_national_yearly!$D:$AM, 10, FALSE), 1)</f>
        <v>5.365537633102304E-2</v>
      </c>
      <c r="J8" s="7">
        <f>$B8 * IFERROR(VLOOKUP("electricity|SO2|Asthma symptoms wheeze", US_national_yearly!$D:$AM, 18, FALSE) / VLOOKUP("electricity|SO2|Asthma symptoms wheeze", US_national_yearly!$D:$AM, 10, FALSE), 1)</f>
        <v>5.365537633102304E-2</v>
      </c>
      <c r="K8" s="7">
        <f>$B8 * IFERROR(VLOOKUP("electricity|SO2|Asthma symptoms wheeze", US_national_yearly!$D:$AM, 19, FALSE) / VLOOKUP("electricity|SO2|Asthma symptoms wheeze", US_national_yearly!$D:$AM, 10, FALSE), 1)</f>
        <v>5.365537633102304E-2</v>
      </c>
      <c r="L8" s="7">
        <f>$B8 * IFERROR(VLOOKUP("electricity|SO2|Asthma symptoms wheeze", US_national_yearly!$D:$AM, 20, FALSE) / VLOOKUP("electricity|SO2|Asthma symptoms wheeze", US_national_yearly!$D:$AM, 10, FALSE), 1)</f>
        <v>5.365537633102304E-2</v>
      </c>
      <c r="M8" s="7">
        <f>$B8 * IFERROR(VLOOKUP("electricity|SO2|Asthma symptoms wheeze", US_national_yearly!$D:$AM, 21, FALSE) / VLOOKUP("electricity|SO2|Asthma symptoms wheeze", US_national_yearly!$D:$AM, 10, FALSE), 1)</f>
        <v>5.365537633102304E-2</v>
      </c>
      <c r="N8" s="7">
        <f>$B8 * IFERROR(VLOOKUP("electricity|SO2|Asthma symptoms wheeze", US_national_yearly!$D:$AM, 22, FALSE) / VLOOKUP("electricity|SO2|Asthma symptoms wheeze", US_national_yearly!$D:$AM, 10, FALSE), 1)</f>
        <v>5.365537633102304E-2</v>
      </c>
      <c r="O8" s="7">
        <f>$B8 * IFERROR(VLOOKUP("electricity|SO2|Asthma symptoms wheeze", US_national_yearly!$D:$AM, 23, FALSE) / VLOOKUP("electricity|SO2|Asthma symptoms wheeze", US_national_yearly!$D:$AM, 10, FALSE), 1)</f>
        <v>5.365537633102304E-2</v>
      </c>
      <c r="P8" s="7">
        <f>$B8 * IFERROR(VLOOKUP("electricity|SO2|Asthma symptoms wheeze", US_national_yearly!$D:$AM, 24, FALSE) / VLOOKUP("electricity|SO2|Asthma symptoms wheeze", US_national_yearly!$D:$AM, 10, FALSE), 1)</f>
        <v>5.365537633102304E-2</v>
      </c>
      <c r="Q8" s="7">
        <f>$B8 * IFERROR(VLOOKUP("electricity|SO2|Asthma symptoms wheeze", US_national_yearly!$D:$AM, 25, FALSE) / VLOOKUP("electricity|SO2|Asthma symptoms wheeze", US_national_yearly!$D:$AM, 10, FALSE), 1)</f>
        <v>5.365537633102304E-2</v>
      </c>
      <c r="R8" s="7">
        <f>$B8 * IFERROR(VLOOKUP("electricity|SO2|Asthma symptoms wheeze", US_national_yearly!$D:$AM, 26, FALSE) / VLOOKUP("electricity|SO2|Asthma symptoms wheeze", US_national_yearly!$D:$AM, 10, FALSE), 1)</f>
        <v>5.365537633102304E-2</v>
      </c>
      <c r="S8" s="7">
        <f>$B8 * IFERROR(VLOOKUP("electricity|SO2|Asthma symptoms wheeze", US_national_yearly!$D:$AM, 27, FALSE) / VLOOKUP("electricity|SO2|Asthma symptoms wheeze", US_national_yearly!$D:$AM, 10, FALSE), 1)</f>
        <v>5.365537633102304E-2</v>
      </c>
      <c r="T8" s="7">
        <f>$B8 * IFERROR(VLOOKUP("electricity|SO2|Asthma symptoms wheeze", US_national_yearly!$D:$AM, 28, FALSE) / VLOOKUP("electricity|SO2|Asthma symptoms wheeze", US_national_yearly!$D:$AM, 10, FALSE), 1)</f>
        <v>5.365537633102304E-2</v>
      </c>
      <c r="U8" s="7">
        <f>$B8 * IFERROR(VLOOKUP("electricity|SO2|Asthma symptoms wheeze", US_national_yearly!$D:$AM, 29, FALSE) / VLOOKUP("electricity|SO2|Asthma symptoms wheeze", US_national_yearly!$D:$AM, 10, FALSE), 1)</f>
        <v>5.365537633102304E-2</v>
      </c>
      <c r="V8" s="7">
        <f>$B8 * IFERROR(VLOOKUP("electricity|SO2|Asthma symptoms wheeze", US_national_yearly!$D:$AM, 30, FALSE) / VLOOKUP("electricity|SO2|Asthma symptoms wheeze", US_national_yearly!$D:$AM, 10, FALSE), 1)</f>
        <v>5.365537633102304E-2</v>
      </c>
      <c r="W8" s="7">
        <f>$B8 * IFERROR(VLOOKUP("electricity|SO2|Asthma symptoms wheeze", US_national_yearly!$D:$AM, 31, FALSE) / VLOOKUP("electricity|SO2|Asthma symptoms wheeze", US_national_yearly!$D:$AM, 10, FALSE), 1)</f>
        <v>5.365537633102304E-2</v>
      </c>
      <c r="X8" s="7">
        <f>$B8 * IFERROR(VLOOKUP("electricity|SO2|Asthma symptoms wheeze", US_national_yearly!$D:$AM, 32, FALSE) / VLOOKUP("electricity|SO2|Asthma symptoms wheeze", US_national_yearly!$D:$AM, 10, FALSE), 1)</f>
        <v>5.365537633102304E-2</v>
      </c>
      <c r="Y8" s="7">
        <f>$B8 * IFERROR(VLOOKUP("electricity|SO2|Asthma symptoms wheeze", US_national_yearly!$D:$AM, 33, FALSE) / VLOOKUP("electricity|SO2|Asthma symptoms wheeze", US_national_yearly!$D:$AM, 10, FALSE), 1)</f>
        <v>5.365537633102304E-2</v>
      </c>
      <c r="Z8" s="7">
        <f>$B8 * IFERROR(VLOOKUP("electricity|SO2|Asthma symptoms wheeze", US_national_yearly!$D:$AM, 34, FALSE) / VLOOKUP("electricity|SO2|Asthma symptoms wheeze", US_national_yearly!$D:$AM, 10, FALSE), 1)</f>
        <v>5.365537633102304E-2</v>
      </c>
      <c r="AA8" s="7">
        <f>$B8 * IFERROR(VLOOKUP("electricity|SO2|Asthma symptoms wheeze", US_national_yearly!$D:$AM, 35, FALSE) / VLOOKUP("electricity|SO2|Asthma symptoms wheeze", US_national_yearly!$D:$AM, 10, FALSE), 1)</f>
        <v>5.365537633102304E-2</v>
      </c>
      <c r="AB8" s="7">
        <f>$B8 * IFERROR(VLOOKUP("electricity|SO2|Asthma symptoms wheeze", US_national_yearly!$D:$AM, 36, FALSE) / VLOOKUP("electricity|SO2|Asthma symptoms wheeze", US_national_yearly!$D:$AM, 10, FALSE), 1)</f>
        <v>5.365537633102304E-2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6.6167241680656331E-4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6.6556942312971494E-4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6.6946642945286668E-4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6.7336343577601831E-4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6.7726044209917016E-4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6.8150699259983752E-4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6.857535431005051E-4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6.8983878674214747E-4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6.9392403038378994E-4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6.9800927402543253E-4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7.020945176670749E-4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7.0617976130871738E-4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7.091099448058891E-4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7.1204012830306104E-4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7.1497031180023287E-4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7.1790049529740459E-4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7.2083067879457653E-4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7.2359634069533681E-4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7.263620025960972E-4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7.2912766449685748E-4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7.3189332639761787E-4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7.3465898829837826E-4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7.3731216226910262E-4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7.399653362398273E-4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7.4261851021055199E-4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7.4527168418127645E-4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7.4792485815200114E-4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3.871062464193221E-3</v>
      </c>
      <c r="C13" s="7">
        <f>$B13 * IFERROR(VLOOKUP("electricity|SO2|Non-fatal heart attacks", US_national_yearly!$D:$AM, 11, FALSE) / VLOOKUP("electricity|SO2|Non-fatal heart attacks", US_national_yearly!$D:$AM, 10, FALSE), 1)</f>
        <v>3.985086813713179E-3</v>
      </c>
      <c r="D13" s="7">
        <f>$B13 * IFERROR(VLOOKUP("electricity|SO2|Non-fatal heart attacks", US_national_yearly!$D:$AM, 12, FALSE) / VLOOKUP("electricity|SO2|Non-fatal heart attacks", US_national_yearly!$D:$AM, 10, FALSE), 1)</f>
        <v>4.0991111632331352E-3</v>
      </c>
      <c r="E13" s="7">
        <f>$B13 * IFERROR(VLOOKUP("electricity|SO2|Non-fatal heart attacks", US_national_yearly!$D:$AM, 13, FALSE) / VLOOKUP("electricity|SO2|Non-fatal heart attacks", US_national_yearly!$D:$AM, 10, FALSE), 1)</f>
        <v>4.2131355127530933E-3</v>
      </c>
      <c r="F13" s="7">
        <f>$B13 * IFERROR(VLOOKUP("electricity|SO2|Non-fatal heart attacks", US_national_yearly!$D:$AM, 14, FALSE) / VLOOKUP("electricity|SO2|Non-fatal heart attacks", US_national_yearly!$D:$AM, 10, FALSE), 1)</f>
        <v>4.3271598622730504E-3</v>
      </c>
      <c r="G13" s="7">
        <f>$B13 * IFERROR(VLOOKUP("electricity|SO2|Non-fatal heart attacks", US_national_yearly!$D:$AM, 15, FALSE) / VLOOKUP("electricity|SO2|Non-fatal heart attacks", US_national_yearly!$D:$AM, 10, FALSE), 1)</f>
        <v>4.4353723910473099E-3</v>
      </c>
      <c r="H13" s="7">
        <f>$B13 * IFERROR(VLOOKUP("electricity|SO2|Non-fatal heart attacks", US_national_yearly!$D:$AM, 16, FALSE) / VLOOKUP("electricity|SO2|Non-fatal heart attacks", US_national_yearly!$D:$AM, 10, FALSE), 1)</f>
        <v>4.5435849198215703E-3</v>
      </c>
      <c r="I13" s="7">
        <f>$B13 * IFERROR(VLOOKUP("electricity|SO2|Non-fatal heart attacks", US_national_yearly!$D:$AM, 17, FALSE) / VLOOKUP("electricity|SO2|Non-fatal heart attacks", US_national_yearly!$D:$AM, 10, FALSE), 1)</f>
        <v>4.6317116383103804E-3</v>
      </c>
      <c r="J13" s="7">
        <f>$B13 * IFERROR(VLOOKUP("electricity|SO2|Non-fatal heart attacks", US_national_yearly!$D:$AM, 18, FALSE) / VLOOKUP("electricity|SO2|Non-fatal heart attacks", US_national_yearly!$D:$AM, 10, FALSE), 1)</f>
        <v>4.7198383567991888E-3</v>
      </c>
      <c r="K13" s="7">
        <f>$B13 * IFERROR(VLOOKUP("electricity|SO2|Non-fatal heart attacks", US_national_yearly!$D:$AM, 19, FALSE) / VLOOKUP("electricity|SO2|Non-fatal heart attacks", US_national_yearly!$D:$AM, 10, FALSE), 1)</f>
        <v>4.8079650752879989E-3</v>
      </c>
      <c r="L13" s="7">
        <f>$B13 * IFERROR(VLOOKUP("electricity|SO2|Non-fatal heart attacks", US_national_yearly!$D:$AM, 20, FALSE) / VLOOKUP("electricity|SO2|Non-fatal heart attacks", US_national_yearly!$D:$AM, 10, FALSE), 1)</f>
        <v>4.8960917937768082E-3</v>
      </c>
      <c r="M13" s="7">
        <f>$B13 * IFERROR(VLOOKUP("electricity|SO2|Non-fatal heart attacks", US_national_yearly!$D:$AM, 21, FALSE) / VLOOKUP("electricity|SO2|Non-fatal heart attacks", US_national_yearly!$D:$AM, 10, FALSE), 1)</f>
        <v>4.9842185122656183E-3</v>
      </c>
      <c r="N13" s="7">
        <f>$B13 * IFERROR(VLOOKUP("electricity|SO2|Non-fatal heart attacks", US_national_yearly!$D:$AM, 22, FALSE) / VLOOKUP("electricity|SO2|Non-fatal heart attacks", US_national_yearly!$D:$AM, 10, FALSE), 1)</f>
        <v>5.042333934239987E-3</v>
      </c>
      <c r="O13" s="7">
        <f>$B13 * IFERROR(VLOOKUP("electricity|SO2|Non-fatal heart attacks", US_national_yearly!$D:$AM, 23, FALSE) / VLOOKUP("electricity|SO2|Non-fatal heart attacks", US_national_yearly!$D:$AM, 10, FALSE), 1)</f>
        <v>5.1004493562143548E-3</v>
      </c>
      <c r="P13" s="7">
        <f>$B13 * IFERROR(VLOOKUP("electricity|SO2|Non-fatal heart attacks", US_national_yearly!$D:$AM, 24, FALSE) / VLOOKUP("electricity|SO2|Non-fatal heart attacks", US_national_yearly!$D:$AM, 10, FALSE), 1)</f>
        <v>5.1585647781887236E-3</v>
      </c>
      <c r="Q13" s="7">
        <f>$B13 * IFERROR(VLOOKUP("electricity|SO2|Non-fatal heart attacks", US_national_yearly!$D:$AM, 25, FALSE) / VLOOKUP("electricity|SO2|Non-fatal heart attacks", US_national_yearly!$D:$AM, 10, FALSE), 1)</f>
        <v>5.2166802001630923E-3</v>
      </c>
      <c r="R13" s="7">
        <f>$B13 * IFERROR(VLOOKUP("electricity|SO2|Non-fatal heart attacks", US_national_yearly!$D:$AM, 26, FALSE) / VLOOKUP("electricity|SO2|Non-fatal heart attacks", US_national_yearly!$D:$AM, 10, FALSE), 1)</f>
        <v>5.274795622137461E-3</v>
      </c>
      <c r="S13" s="7">
        <f>$B13 * IFERROR(VLOOKUP("electricity|SO2|Non-fatal heart attacks", US_national_yearly!$D:$AM, 27, FALSE) / VLOOKUP("electricity|SO2|Non-fatal heart attacks", US_national_yearly!$D:$AM, 10, FALSE), 1)</f>
        <v>5.3064206518017585E-3</v>
      </c>
      <c r="T13" s="7">
        <f>$B13 * IFERROR(VLOOKUP("electricity|SO2|Non-fatal heart attacks", US_national_yearly!$D:$AM, 28, FALSE) / VLOOKUP("electricity|SO2|Non-fatal heart attacks", US_national_yearly!$D:$AM, 10, FALSE), 1)</f>
        <v>5.3380456814660559E-3</v>
      </c>
      <c r="U13" s="7">
        <f>$B13 * IFERROR(VLOOKUP("electricity|SO2|Non-fatal heart attacks", US_national_yearly!$D:$AM, 29, FALSE) / VLOOKUP("electricity|SO2|Non-fatal heart attacks", US_national_yearly!$D:$AM, 10, FALSE), 1)</f>
        <v>5.3696707111303543E-3</v>
      </c>
      <c r="V13" s="7">
        <f>$B13 * IFERROR(VLOOKUP("electricity|SO2|Non-fatal heart attacks", US_national_yearly!$D:$AM, 30, FALSE) / VLOOKUP("electricity|SO2|Non-fatal heart attacks", US_national_yearly!$D:$AM, 10, FALSE), 1)</f>
        <v>5.40129574079465E-3</v>
      </c>
      <c r="W13" s="7">
        <f>$B13 * IFERROR(VLOOKUP("electricity|SO2|Non-fatal heart attacks", US_national_yearly!$D:$AM, 31, FALSE) / VLOOKUP("electricity|SO2|Non-fatal heart attacks", US_national_yearly!$D:$AM, 10, FALSE), 1)</f>
        <v>5.4329207704589483E-3</v>
      </c>
      <c r="X13" s="7">
        <f>$B13 * IFERROR(VLOOKUP("electricity|SO2|Non-fatal heart attacks", US_national_yearly!$D:$AM, 32, FALSE) / VLOOKUP("electricity|SO2|Non-fatal heart attacks", US_national_yearly!$D:$AM, 10, FALSE), 1)</f>
        <v>5.4572140729107748E-3</v>
      </c>
      <c r="Y13" s="7">
        <f>$B13 * IFERROR(VLOOKUP("electricity|SO2|Non-fatal heart attacks", US_national_yearly!$D:$AM, 33, FALSE) / VLOOKUP("electricity|SO2|Non-fatal heart attacks", US_national_yearly!$D:$AM, 10, FALSE), 1)</f>
        <v>5.4815073753626022E-3</v>
      </c>
      <c r="Z13" s="7">
        <f>$B13 * IFERROR(VLOOKUP("electricity|SO2|Non-fatal heart attacks", US_national_yearly!$D:$AM, 34, FALSE) / VLOOKUP("electricity|SO2|Non-fatal heart attacks", US_national_yearly!$D:$AM, 10, FALSE), 1)</f>
        <v>5.5058006778144278E-3</v>
      </c>
      <c r="AA13" s="7">
        <f>$B13 * IFERROR(VLOOKUP("electricity|SO2|Non-fatal heart attacks", US_national_yearly!$D:$AM, 35, FALSE) / VLOOKUP("electricity|SO2|Non-fatal heart attacks", US_national_yearly!$D:$AM, 10, FALSE), 1)</f>
        <v>5.5300939802662543E-3</v>
      </c>
      <c r="AB13" s="7">
        <f>$B13 * IFERROR(VLOOKUP("electricity|SO2|Non-fatal heart attacks", US_national_yearly!$D:$AM, 36, FALSE) / VLOOKUP("electricity|SO2|Non-fatal heart attacks", US_national_yearly!$D:$AM, 10, FALSE), 1)</f>
        <v>5.5543872827180808E-3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3.0298040346520945</v>
      </c>
      <c r="C14" s="7">
        <f>$B14 * IFERROR(VLOOKUP("electricity|SO2|Minor restricted activity days", US_national_yearly!$D:$AM, 11, FALSE) / VLOOKUP("electricity|SO2|Minor restricted activity days", US_national_yearly!$D:$AM, 10, FALSE), 1)</f>
        <v>3.0374177872530383</v>
      </c>
      <c r="D14" s="7">
        <f>$B14 * IFERROR(VLOOKUP("electricity|SO2|Minor restricted activity days", US_national_yearly!$D:$AM, 12, FALSE) / VLOOKUP("electricity|SO2|Minor restricted activity days", US_national_yearly!$D:$AM, 10, FALSE), 1)</f>
        <v>3.0450315398539822</v>
      </c>
      <c r="E14" s="7">
        <f>$B14 * IFERROR(VLOOKUP("electricity|SO2|Minor restricted activity days", US_national_yearly!$D:$AM, 13, FALSE) / VLOOKUP("electricity|SO2|Minor restricted activity days", US_national_yearly!$D:$AM, 10, FALSE), 1)</f>
        <v>3.052645292454927</v>
      </c>
      <c r="F14" s="7">
        <f>$B14 * IFERROR(VLOOKUP("electricity|SO2|Minor restricted activity days", US_national_yearly!$D:$AM, 14, FALSE) / VLOOKUP("electricity|SO2|Minor restricted activity days", US_national_yearly!$D:$AM, 10, FALSE), 1)</f>
        <v>3.0602590450558704</v>
      </c>
      <c r="G14" s="7">
        <f>$B14 * IFERROR(VLOOKUP("electricity|SO2|Minor restricted activity days", US_national_yearly!$D:$AM, 15, FALSE) / VLOOKUP("electricity|SO2|Minor restricted activity days", US_national_yearly!$D:$AM, 10, FALSE), 1)</f>
        <v>3.0712592715206677</v>
      </c>
      <c r="H14" s="7">
        <f>$B14 * IFERROR(VLOOKUP("electricity|SO2|Minor restricted activity days", US_national_yearly!$D:$AM, 16, FALSE) / VLOOKUP("electricity|SO2|Minor restricted activity days", US_national_yearly!$D:$AM, 10, FALSE), 1)</f>
        <v>3.0822594979854654</v>
      </c>
      <c r="I14" s="7">
        <f>$B14 * IFERROR(VLOOKUP("electricity|SO2|Minor restricted activity days", US_national_yearly!$D:$AM, 17, FALSE) / VLOOKUP("electricity|SO2|Minor restricted activity days", US_national_yearly!$D:$AM, 10, FALSE), 1)</f>
        <v>3.1011257332930713</v>
      </c>
      <c r="J14" s="7">
        <f>$B14 * IFERROR(VLOOKUP("electricity|SO2|Minor restricted activity days", US_national_yearly!$D:$AM, 18, FALSE) / VLOOKUP("electricity|SO2|Minor restricted activity days", US_national_yearly!$D:$AM, 10, FALSE), 1)</f>
        <v>3.1199919686006781</v>
      </c>
      <c r="K14" s="7">
        <f>$B14 * IFERROR(VLOOKUP("electricity|SO2|Minor restricted activity days", US_national_yearly!$D:$AM, 19, FALSE) / VLOOKUP("electricity|SO2|Minor restricted activity days", US_national_yearly!$D:$AM, 10, FALSE), 1)</f>
        <v>3.138858203908284</v>
      </c>
      <c r="L14" s="7">
        <f>$B14 * IFERROR(VLOOKUP("electricity|SO2|Minor restricted activity days", US_national_yearly!$D:$AM, 20, FALSE) / VLOOKUP("electricity|SO2|Minor restricted activity days", US_national_yearly!$D:$AM, 10, FALSE), 1)</f>
        <v>3.1577244392158912</v>
      </c>
      <c r="M14" s="7">
        <f>$B14 * IFERROR(VLOOKUP("electricity|SO2|Minor restricted activity days", US_national_yearly!$D:$AM, 21, FALSE) / VLOOKUP("electricity|SO2|Minor restricted activity days", US_national_yearly!$D:$AM, 10, FALSE), 1)</f>
        <v>3.1765906745234975</v>
      </c>
      <c r="N14" s="7">
        <f>$B14 * IFERROR(VLOOKUP("electricity|SO2|Minor restricted activity days", US_national_yearly!$D:$AM, 22, FALSE) / VLOOKUP("electricity|SO2|Minor restricted activity days", US_national_yearly!$D:$AM, 10, FALSE), 1)</f>
        <v>3.2025722057215353</v>
      </c>
      <c r="O14" s="7">
        <f>$B14 * IFERROR(VLOOKUP("electricity|SO2|Minor restricted activity days", US_national_yearly!$D:$AM, 23, FALSE) / VLOOKUP("electricity|SO2|Minor restricted activity days", US_national_yearly!$D:$AM, 10, FALSE), 1)</f>
        <v>3.2285537369195723</v>
      </c>
      <c r="P14" s="7">
        <f>$B14 * IFERROR(VLOOKUP("electricity|SO2|Minor restricted activity days", US_national_yearly!$D:$AM, 24, FALSE) / VLOOKUP("electricity|SO2|Minor restricted activity days", US_national_yearly!$D:$AM, 10, FALSE), 1)</f>
        <v>3.2545352681176092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3.280516799315647</v>
      </c>
      <c r="R14" s="7">
        <f>$B14 * IFERROR(VLOOKUP("electricity|SO2|Minor restricted activity days", US_national_yearly!$D:$AM, 26, FALSE) / VLOOKUP("electricity|SO2|Minor restricted activity days", US_national_yearly!$D:$AM, 10, FALSE), 1)</f>
        <v>3.3064983305136839</v>
      </c>
      <c r="S14" s="7">
        <f>$B14 * IFERROR(VLOOKUP("electricity|SO2|Minor restricted activity days", US_national_yearly!$D:$AM, 27, FALSE) / VLOOKUP("electricity|SO2|Minor restricted activity days", US_national_yearly!$D:$AM, 10, FALSE), 1)</f>
        <v>3.3331334962035619</v>
      </c>
      <c r="T14" s="7">
        <f>$B14 * IFERROR(VLOOKUP("electricity|SO2|Minor restricted activity days", US_national_yearly!$D:$AM, 28, FALSE) / VLOOKUP("electricity|SO2|Minor restricted activity days", US_national_yearly!$D:$AM, 10, FALSE), 1)</f>
        <v>3.3597686618934399</v>
      </c>
      <c r="U14" s="7">
        <f>$B14 * IFERROR(VLOOKUP("electricity|SO2|Minor restricted activity days", US_national_yearly!$D:$AM, 29, FALSE) / VLOOKUP("electricity|SO2|Minor restricted activity days", US_national_yearly!$D:$AM, 10, FALSE), 1)</f>
        <v>3.3864038275833175</v>
      </c>
      <c r="V14" s="7">
        <f>$B14 * IFERROR(VLOOKUP("electricity|SO2|Minor restricted activity days", US_national_yearly!$D:$AM, 30, FALSE) / VLOOKUP("electricity|SO2|Minor restricted activity days", US_national_yearly!$D:$AM, 10, FALSE), 1)</f>
        <v>3.4130389932731955</v>
      </c>
      <c r="W14" s="7">
        <f>$B14 * IFERROR(VLOOKUP("electricity|SO2|Minor restricted activity days", US_national_yearly!$D:$AM, 31, FALSE) / VLOOKUP("electricity|SO2|Minor restricted activity days", US_national_yearly!$D:$AM, 10, FALSE), 1)</f>
        <v>3.4396741589630735</v>
      </c>
      <c r="X14" s="7">
        <f>$B14 * IFERROR(VLOOKUP("electricity|SO2|Minor restricted activity days", US_national_yearly!$D:$AM, 32, FALSE) / VLOOKUP("electricity|SO2|Minor restricted activity days", US_national_yearly!$D:$AM, 10, FALSE), 1)</f>
        <v>3.4631101856241702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3.4865462122852664</v>
      </c>
      <c r="Z14" s="7">
        <f>$B14 * IFERROR(VLOOKUP("electricity|SO2|Minor restricted activity days", US_national_yearly!$D:$AM, 34, FALSE) / VLOOKUP("electricity|SO2|Minor restricted activity days", US_national_yearly!$D:$AM, 10, FALSE), 1)</f>
        <v>3.5099822389463626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3.5334182656074593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3.5568542922685555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0.51281712440291172</v>
      </c>
      <c r="C15" s="7">
        <f>$B15 * IFERROR(VLOOKUP("electricity|SO2|Work loss days", US_national_yearly!$D:$AM, 11, FALSE) / VLOOKUP("electricity|SO2|Work loss days", US_national_yearly!$D:$AM, 10, FALSE), 1)</f>
        <v>0.5144776417609449</v>
      </c>
      <c r="D15" s="7">
        <f>$B15 * IFERROR(VLOOKUP("electricity|SO2|Work loss days", US_national_yearly!$D:$AM, 12, FALSE) / VLOOKUP("electricity|SO2|Work loss days", US_national_yearly!$D:$AM, 10, FALSE), 1)</f>
        <v>0.51613815911897798</v>
      </c>
      <c r="E15" s="7">
        <f>$B15 * IFERROR(VLOOKUP("electricity|SO2|Work loss days", US_national_yearly!$D:$AM, 13, FALSE) / VLOOKUP("electricity|SO2|Work loss days", US_national_yearly!$D:$AM, 10, FALSE), 1)</f>
        <v>0.51779867647701128</v>
      </c>
      <c r="F15" s="7">
        <f>$B15 * IFERROR(VLOOKUP("electricity|SO2|Work loss days", US_national_yearly!$D:$AM, 14, FALSE) / VLOOKUP("electricity|SO2|Work loss days", US_national_yearly!$D:$AM, 10, FALSE), 1)</f>
        <v>0.51945919383504446</v>
      </c>
      <c r="G15" s="7">
        <f>$B15 * IFERROR(VLOOKUP("electricity|SO2|Work loss days", US_national_yearly!$D:$AM, 15, FALSE) / VLOOKUP("electricity|SO2|Work loss days", US_national_yearly!$D:$AM, 10, FALSE), 1)</f>
        <v>0.52158641946289686</v>
      </c>
      <c r="H15" s="7">
        <f>$B15 * IFERROR(VLOOKUP("electricity|SO2|Work loss days", US_national_yearly!$D:$AM, 16, FALSE) / VLOOKUP("electricity|SO2|Work loss days", US_national_yearly!$D:$AM, 10, FALSE), 1)</f>
        <v>0.52371364509074936</v>
      </c>
      <c r="I15" s="7">
        <f>$B15 * IFERROR(VLOOKUP("electricity|SO2|Work loss days", US_national_yearly!$D:$AM, 17, FALSE) / VLOOKUP("electricity|SO2|Work loss days", US_national_yearly!$D:$AM, 10, FALSE), 1)</f>
        <v>0.52682602640784615</v>
      </c>
      <c r="J15" s="7">
        <f>$B15 * IFERROR(VLOOKUP("electricity|SO2|Work loss days", US_national_yearly!$D:$AM, 18, FALSE) / VLOOKUP("electricity|SO2|Work loss days", US_national_yearly!$D:$AM, 10, FALSE), 1)</f>
        <v>0.52993840772494283</v>
      </c>
      <c r="K15" s="7">
        <f>$B15 * IFERROR(VLOOKUP("electricity|SO2|Work loss days", US_national_yearly!$D:$AM, 19, FALSE) / VLOOKUP("electricity|SO2|Work loss days", US_national_yearly!$D:$AM, 10, FALSE), 1)</f>
        <v>0.53305078904203962</v>
      </c>
      <c r="L15" s="7">
        <f>$B15 * IFERROR(VLOOKUP("electricity|SO2|Work loss days", US_national_yearly!$D:$AM, 20, FALSE) / VLOOKUP("electricity|SO2|Work loss days", US_national_yearly!$D:$AM, 10, FALSE), 1)</f>
        <v>0.5361631703591363</v>
      </c>
      <c r="M15" s="7">
        <f>$B15 * IFERROR(VLOOKUP("electricity|SO2|Work loss days", US_national_yearly!$D:$AM, 21, FALSE) / VLOOKUP("electricity|SO2|Work loss days", US_national_yearly!$D:$AM, 10, FALSE), 1)</f>
        <v>0.5392755516762332</v>
      </c>
      <c r="N15" s="7">
        <f>$B15 * IFERROR(VLOOKUP("electricity|SO2|Work loss days", US_national_yearly!$D:$AM, 22, FALSE) / VLOOKUP("electricity|SO2|Work loss days", US_national_yearly!$D:$AM, 10, FALSE), 1)</f>
        <v>0.54321348807366987</v>
      </c>
      <c r="O15" s="7">
        <f>$B15 * IFERROR(VLOOKUP("electricity|SO2|Work loss days", US_national_yearly!$D:$AM, 23, FALSE) / VLOOKUP("electricity|SO2|Work loss days", US_national_yearly!$D:$AM, 10, FALSE), 1)</f>
        <v>0.54715142447110654</v>
      </c>
      <c r="P15" s="7">
        <f>$B15 * IFERROR(VLOOKUP("electricity|SO2|Work loss days", US_national_yearly!$D:$AM, 24, FALSE) / VLOOKUP("electricity|SO2|Work loss days", US_national_yearly!$D:$AM, 10, FALSE), 1)</f>
        <v>0.55108936086854332</v>
      </c>
      <c r="Q15" s="7">
        <f>$B15 * IFERROR(VLOOKUP("electricity|SO2|Work loss days", US_national_yearly!$D:$AM, 25, FALSE) / VLOOKUP("electricity|SO2|Work loss days", US_national_yearly!$D:$AM, 10, FALSE), 1)</f>
        <v>0.55502729726597988</v>
      </c>
      <c r="R15" s="7">
        <f>$B15 * IFERROR(VLOOKUP("electricity|SO2|Work loss days", US_national_yearly!$D:$AM, 26, FALSE) / VLOOKUP("electricity|SO2|Work loss days", US_national_yearly!$D:$AM, 10, FALSE), 1)</f>
        <v>0.55896523366341666</v>
      </c>
      <c r="S15" s="7">
        <f>$B15 * IFERROR(VLOOKUP("electricity|SO2|Work loss days", US_national_yearly!$D:$AM, 27, FALSE) / VLOOKUP("electricity|SO2|Work loss days", US_national_yearly!$D:$AM, 10, FALSE), 1)</f>
        <v>0.56338002784160324</v>
      </c>
      <c r="T15" s="7">
        <f>$B15 * IFERROR(VLOOKUP("electricity|SO2|Work loss days", US_national_yearly!$D:$AM, 28, FALSE) / VLOOKUP("electricity|SO2|Work loss days", US_national_yearly!$D:$AM, 10, FALSE), 1)</f>
        <v>0.56779482201978992</v>
      </c>
      <c r="U15" s="7">
        <f>$B15 * IFERROR(VLOOKUP("electricity|SO2|Work loss days", US_national_yearly!$D:$AM, 29, FALSE) / VLOOKUP("electricity|SO2|Work loss days", US_national_yearly!$D:$AM, 10, FALSE), 1)</f>
        <v>0.57220961619797661</v>
      </c>
      <c r="V15" s="7">
        <f>$B15 * IFERROR(VLOOKUP("electricity|SO2|Work loss days", US_national_yearly!$D:$AM, 30, FALSE) / VLOOKUP("electricity|SO2|Work loss days", US_national_yearly!$D:$AM, 10, FALSE), 1)</f>
        <v>0.57662441037616341</v>
      </c>
      <c r="W15" s="7">
        <f>$B15 * IFERROR(VLOOKUP("electricity|SO2|Work loss days", US_national_yearly!$D:$AM, 31, FALSE) / VLOOKUP("electricity|SO2|Work loss days", US_national_yearly!$D:$AM, 10, FALSE), 1)</f>
        <v>0.5810392045543501</v>
      </c>
      <c r="X15" s="7">
        <f>$B15 * IFERROR(VLOOKUP("electricity|SO2|Work loss days", US_national_yearly!$D:$AM, 32, FALSE) / VLOOKUP("electricity|SO2|Work loss days", US_national_yearly!$D:$AM, 10, FALSE), 1)</f>
        <v>0.58501649745982098</v>
      </c>
      <c r="Y15" s="7">
        <f>$B15 * IFERROR(VLOOKUP("electricity|SO2|Work loss days", US_national_yearly!$D:$AM, 33, FALSE) / VLOOKUP("electricity|SO2|Work loss days", US_national_yearly!$D:$AM, 10, FALSE), 1)</f>
        <v>0.58899379036529187</v>
      </c>
      <c r="Z15" s="7">
        <f>$B15 * IFERROR(VLOOKUP("electricity|SO2|Work loss days", US_national_yearly!$D:$AM, 34, FALSE) / VLOOKUP("electricity|SO2|Work loss days", US_national_yearly!$D:$AM, 10, FALSE), 1)</f>
        <v>0.59297108327076276</v>
      </c>
      <c r="AA15" s="7">
        <f>$B15 * IFERROR(VLOOKUP("electricity|SO2|Work loss days", US_national_yearly!$D:$AM, 35, FALSE) / VLOOKUP("electricity|SO2|Work loss days", US_national_yearly!$D:$AM, 10, FALSE), 1)</f>
        <v>0.59694837617623364</v>
      </c>
      <c r="AB15" s="7">
        <f>$B15 * IFERROR(VLOOKUP("electricity|SO2|Work loss days", US_national_yearly!$D:$AM, 36, FALSE) / VLOOKUP("electricity|SO2|Work loss days", US_national_yearly!$D:$AM, 10, FALSE), 1)</f>
        <v>0.60092566908170453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9.3308709404266133E-4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9.613622268081904E-4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9.8963735957371935E-4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1.0179124923392487E-3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1.0461876251047777E-3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1.0734430513554703E-3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1.1006984776061632E-3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1.1242946050461964E-3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1.1478907324862294E-3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1.1714868599262626E-3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1.1950829873662954E-3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1.2186791148063286E-3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1.2347834088741294E-3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1.2508877029419301E-3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1.2669919970097314E-3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1.2830962910775319E-3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1.2992005851453329E-3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1.3080292541737865E-3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1.3168579232022398E-3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1.3256865922306933E-3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1.3345152612591466E-3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1.3433439302875999E-3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1.3494382529936684E-3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1.3555325756997368E-3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1.3616268984058052E-3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1.3677212211118737E-3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1.3738155438179421E-3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9.8746374579028271E-3</v>
      </c>
      <c r="C2" s="7">
        <f>$B2 * IFERROR(VLOOKUP("buildings|PM25|Premature mortality", US_national_yearly!$D:$AM, 11, FALSE) / VLOOKUP("buildings|PM25|Premature mortality", US_national_yearly!$D:$AM, 10, FALSE), 1)</f>
        <v>9.9971499955228867E-3</v>
      </c>
      <c r="D2" s="7">
        <f>$B2 * IFERROR(VLOOKUP("buildings|PM25|Premature mortality", US_national_yearly!$D:$AM, 12, FALSE) / VLOOKUP("buildings|PM25|Premature mortality", US_national_yearly!$D:$AM, 10, FALSE), 1)</f>
        <v>1.0119662533142948E-2</v>
      </c>
      <c r="E2" s="7">
        <f>$B2 * IFERROR(VLOOKUP("buildings|PM25|Premature mortality", US_national_yearly!$D:$AM, 13, FALSE) / VLOOKUP("buildings|PM25|Premature mortality", US_national_yearly!$D:$AM, 10, FALSE), 1)</f>
        <v>1.0242175070763007E-2</v>
      </c>
      <c r="F2" s="7">
        <f>$B2 * IFERROR(VLOOKUP("buildings|PM25|Premature mortality", US_national_yearly!$D:$AM, 14, FALSE) / VLOOKUP("buildings|PM25|Premature mortality", US_national_yearly!$D:$AM, 10, FALSE), 1)</f>
        <v>1.0364687608383069E-2</v>
      </c>
      <c r="G2" s="7">
        <f>$B2 * IFERROR(VLOOKUP("buildings|PM25|Premature mortality", US_national_yearly!$D:$AM, 15, FALSE) / VLOOKUP("buildings|PM25|Premature mortality", US_national_yearly!$D:$AM, 10, FALSE), 1)</f>
        <v>1.0603244642907347E-2</v>
      </c>
      <c r="H2" s="7">
        <f>$B2 * IFERROR(VLOOKUP("buildings|PM25|Premature mortality", US_national_yearly!$D:$AM, 16, FALSE) / VLOOKUP("buildings|PM25|Premature mortality", US_national_yearly!$D:$AM, 10, FALSE), 1)</f>
        <v>1.0841801677431626E-2</v>
      </c>
      <c r="I2" s="7">
        <f>$B2 * IFERROR(VLOOKUP("buildings|PM25|Premature mortality", US_national_yearly!$D:$AM, 17, FALSE) / VLOOKUP("buildings|PM25|Premature mortality", US_national_yearly!$D:$AM, 10, FALSE), 1)</f>
        <v>1.0998696530123406E-2</v>
      </c>
      <c r="J2" s="7">
        <f>$B2 * IFERROR(VLOOKUP("buildings|PM25|Premature mortality", US_national_yearly!$D:$AM, 18, FALSE) / VLOOKUP("buildings|PM25|Premature mortality", US_national_yearly!$D:$AM, 10, FALSE), 1)</f>
        <v>1.1155591382815183E-2</v>
      </c>
      <c r="K2" s="7">
        <f>$B2 * IFERROR(VLOOKUP("buildings|PM25|Premature mortality", US_national_yearly!$D:$AM, 19, FALSE) / VLOOKUP("buildings|PM25|Premature mortality", US_national_yearly!$D:$AM, 10, FALSE), 1)</f>
        <v>1.1312486235506961E-2</v>
      </c>
      <c r="L2" s="7">
        <f>$B2 * IFERROR(VLOOKUP("buildings|PM25|Premature mortality", US_national_yearly!$D:$AM, 20, FALSE) / VLOOKUP("buildings|PM25|Premature mortality", US_national_yearly!$D:$AM, 10, FALSE), 1)</f>
        <v>1.1469381088198739E-2</v>
      </c>
      <c r="M2" s="7">
        <f>$B2 * IFERROR(VLOOKUP("buildings|PM25|Premature mortality", US_national_yearly!$D:$AM, 21, FALSE) / VLOOKUP("buildings|PM25|Premature mortality", US_national_yearly!$D:$AM, 10, FALSE), 1)</f>
        <v>1.1626275940890518E-2</v>
      </c>
      <c r="N2" s="7">
        <f>$B2 * IFERROR(VLOOKUP("buildings|PM25|Premature mortality", US_national_yearly!$D:$AM, 22, FALSE) / VLOOKUP("buildings|PM25|Premature mortality", US_national_yearly!$D:$AM, 10, FALSE), 1)</f>
        <v>1.1748279126436625E-2</v>
      </c>
      <c r="O2" s="7">
        <f>$B2 * IFERROR(VLOOKUP("buildings|PM25|Premature mortality", US_national_yearly!$D:$AM, 23, FALSE) / VLOOKUP("buildings|PM25|Premature mortality", US_national_yearly!$D:$AM, 10, FALSE), 1)</f>
        <v>1.1870282311982736E-2</v>
      </c>
      <c r="P2" s="7">
        <f>$B2 * IFERROR(VLOOKUP("buildings|PM25|Premature mortality", US_national_yearly!$D:$AM, 24, FALSE) / VLOOKUP("buildings|PM25|Premature mortality", US_national_yearly!$D:$AM, 10, FALSE), 1)</f>
        <v>1.1992285497528843E-2</v>
      </c>
      <c r="Q2" s="7">
        <f>$B2 * IFERROR(VLOOKUP("buildings|PM25|Premature mortality", US_national_yearly!$D:$AM, 25, FALSE) / VLOOKUP("buildings|PM25|Premature mortality", US_national_yearly!$D:$AM, 10, FALSE), 1)</f>
        <v>1.2114288683074953E-2</v>
      </c>
      <c r="R2" s="7">
        <f>$B2 * IFERROR(VLOOKUP("buildings|PM25|Premature mortality", US_national_yearly!$D:$AM, 26, FALSE) / VLOOKUP("buildings|PM25|Premature mortality", US_national_yearly!$D:$AM, 10, FALSE), 1)</f>
        <v>1.2236291868621062E-2</v>
      </c>
      <c r="S2" s="7">
        <f>$B2 * IFERROR(VLOOKUP("buildings|PM25|Premature mortality", US_national_yearly!$D:$AM, 27, FALSE) / VLOOKUP("buildings|PM25|Premature mortality", US_national_yearly!$D:$AM, 10, FALSE), 1)</f>
        <v>1.2301137773581546E-2</v>
      </c>
      <c r="T2" s="7">
        <f>$B2 * IFERROR(VLOOKUP("buildings|PM25|Premature mortality", US_national_yearly!$D:$AM, 28, FALSE) / VLOOKUP("buildings|PM25|Premature mortality", US_national_yearly!$D:$AM, 10, FALSE), 1)</f>
        <v>1.2365983678542034E-2</v>
      </c>
      <c r="U2" s="7">
        <f>$B2 * IFERROR(VLOOKUP("buildings|PM25|Premature mortality", US_national_yearly!$D:$AM, 29, FALSE) / VLOOKUP("buildings|PM25|Premature mortality", US_national_yearly!$D:$AM, 10, FALSE), 1)</f>
        <v>1.243082958350252E-2</v>
      </c>
      <c r="V2" s="7">
        <f>$B2 * IFERROR(VLOOKUP("buildings|PM25|Premature mortality", US_national_yearly!$D:$AM, 30, FALSE) / VLOOKUP("buildings|PM25|Premature mortality", US_national_yearly!$D:$AM, 10, FALSE), 1)</f>
        <v>1.2495675488463007E-2</v>
      </c>
      <c r="W2" s="7">
        <f>$B2 * IFERROR(VLOOKUP("buildings|PM25|Premature mortality", US_national_yearly!$D:$AM, 31, FALSE) / VLOOKUP("buildings|PM25|Premature mortality", US_national_yearly!$D:$AM, 10, FALSE), 1)</f>
        <v>1.2560521393423492E-2</v>
      </c>
      <c r="X2" s="7">
        <f>$B2 * IFERROR(VLOOKUP("buildings|PM25|Premature mortality", US_national_yearly!$D:$AM, 32, FALSE) / VLOOKUP("buildings|PM25|Premature mortality", US_national_yearly!$D:$AM, 10, FALSE), 1)</f>
        <v>1.2572160712770255E-2</v>
      </c>
      <c r="Y2" s="7">
        <f>$B2 * IFERROR(VLOOKUP("buildings|PM25|Premature mortality", US_national_yearly!$D:$AM, 33, FALSE) / VLOOKUP("buildings|PM25|Premature mortality", US_national_yearly!$D:$AM, 10, FALSE), 1)</f>
        <v>1.2583800032117017E-2</v>
      </c>
      <c r="Z2" s="7">
        <f>$B2 * IFERROR(VLOOKUP("buildings|PM25|Premature mortality", US_national_yearly!$D:$AM, 34, FALSE) / VLOOKUP("buildings|PM25|Premature mortality", US_national_yearly!$D:$AM, 10, FALSE), 1)</f>
        <v>1.259543935146378E-2</v>
      </c>
      <c r="AA2" s="7">
        <f>$B2 * IFERROR(VLOOKUP("buildings|PM25|Premature mortality", US_national_yearly!$D:$AM, 35, FALSE) / VLOOKUP("buildings|PM25|Premature mortality", US_national_yearly!$D:$AM, 10, FALSE), 1)</f>
        <v>1.2607078670810543E-2</v>
      </c>
      <c r="AB2" s="7">
        <f>$B2 * IFERROR(VLOOKUP("buildings|PM25|Premature mortality", US_national_yearly!$D:$AM, 36, FALSE) / VLOOKUP("buildings|PM25|Premature mortality", US_national_yearly!$D:$AM, 10, FALSE), 1)</f>
        <v>1.2618717990157303E-2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2.9649623549011663E-5</v>
      </c>
      <c r="C3" s="7">
        <f>$B3 * IFERROR(VLOOKUP("buildings|PM25|Infant mortality", US_national_yearly!$D:$AM, 11, FALSE) / VLOOKUP("buildings|PM25|Infant mortality", US_national_yearly!$D:$AM, 10, FALSE), 1)</f>
        <v>2.9392809846311138E-5</v>
      </c>
      <c r="D3" s="7">
        <f>$B3 * IFERROR(VLOOKUP("buildings|PM25|Infant mortality", US_national_yearly!$D:$AM, 12, FALSE) / VLOOKUP("buildings|PM25|Infant mortality", US_national_yearly!$D:$AM, 10, FALSE), 1)</f>
        <v>2.9135996143610617E-5</v>
      </c>
      <c r="E3" s="7">
        <f>$B3 * IFERROR(VLOOKUP("buildings|PM25|Infant mortality", US_national_yearly!$D:$AM, 13, FALSE) / VLOOKUP("buildings|PM25|Infant mortality", US_national_yearly!$D:$AM, 10, FALSE), 1)</f>
        <v>2.8879182440910092E-5</v>
      </c>
      <c r="F3" s="7">
        <f>$B3 * IFERROR(VLOOKUP("buildings|PM25|Infant mortality", US_national_yearly!$D:$AM, 14, FALSE) / VLOOKUP("buildings|PM25|Infant mortality", US_national_yearly!$D:$AM, 10, FALSE), 1)</f>
        <v>2.8622368738209574E-5</v>
      </c>
      <c r="G3" s="7">
        <f>$B3 * IFERROR(VLOOKUP("buildings|PM25|Infant mortality", US_national_yearly!$D:$AM, 15, FALSE) / VLOOKUP("buildings|PM25|Infant mortality", US_national_yearly!$D:$AM, 10, FALSE), 1)</f>
        <v>1.9032836814978639E-5</v>
      </c>
      <c r="H3" s="7">
        <f>$B3 * IFERROR(VLOOKUP("buildings|PM25|Infant mortality", US_national_yearly!$D:$AM, 16, FALSE) / VLOOKUP("buildings|PM25|Infant mortality", US_national_yearly!$D:$AM, 10, FALSE), 1)</f>
        <v>9.4433048917477089E-6</v>
      </c>
      <c r="I3" s="7">
        <f>$B3 * IFERROR(VLOOKUP("buildings|PM25|Infant mortality", US_national_yearly!$D:$AM, 17, FALSE) / VLOOKUP("buildings|PM25|Infant mortality", US_national_yearly!$D:$AM, 10, FALSE), 1)</f>
        <v>9.3817684865774189E-6</v>
      </c>
      <c r="J3" s="7">
        <f>$B3 * IFERROR(VLOOKUP("buildings|PM25|Infant mortality", US_national_yearly!$D:$AM, 18, FALSE) / VLOOKUP("buildings|PM25|Infant mortality", US_national_yearly!$D:$AM, 10, FALSE), 1)</f>
        <v>9.3202320814071289E-6</v>
      </c>
      <c r="K3" s="7">
        <f>$B3 * IFERROR(VLOOKUP("buildings|PM25|Infant mortality", US_national_yearly!$D:$AM, 19, FALSE) / VLOOKUP("buildings|PM25|Infant mortality", US_national_yearly!$D:$AM, 10, FALSE), 1)</f>
        <v>9.2586956762368388E-6</v>
      </c>
      <c r="L3" s="7">
        <f>$B3 * IFERROR(VLOOKUP("buildings|PM25|Infant mortality", US_national_yearly!$D:$AM, 20, FALSE) / VLOOKUP("buildings|PM25|Infant mortality", US_national_yearly!$D:$AM, 10, FALSE), 1)</f>
        <v>9.1971592710665505E-6</v>
      </c>
      <c r="M3" s="7">
        <f>$B3 * IFERROR(VLOOKUP("buildings|PM25|Infant mortality", US_national_yearly!$D:$AM, 21, FALSE) / VLOOKUP("buildings|PM25|Infant mortality", US_national_yearly!$D:$AM, 10, FALSE), 1)</f>
        <v>9.1356228658962605E-6</v>
      </c>
      <c r="N3" s="7">
        <f>$B3 * IFERROR(VLOOKUP("buildings|PM25|Infant mortality", US_national_yearly!$D:$AM, 22, FALSE) / VLOOKUP("buildings|PM25|Infant mortality", US_national_yearly!$D:$AM, 10, FALSE), 1)</f>
        <v>9.0971198012725767E-6</v>
      </c>
      <c r="O3" s="7">
        <f>$B3 * IFERROR(VLOOKUP("buildings|PM25|Infant mortality", US_national_yearly!$D:$AM, 23, FALSE) / VLOOKUP("buildings|PM25|Infant mortality", US_national_yearly!$D:$AM, 10, FALSE), 1)</f>
        <v>9.058616736648893E-6</v>
      </c>
      <c r="P3" s="7">
        <f>$B3 * IFERROR(VLOOKUP("buildings|PM25|Infant mortality", US_national_yearly!$D:$AM, 24, FALSE) / VLOOKUP("buildings|PM25|Infant mortality", US_national_yearly!$D:$AM, 10, FALSE), 1)</f>
        <v>9.0201136720252093E-6</v>
      </c>
      <c r="Q3" s="7">
        <f>$B3 * IFERROR(VLOOKUP("buildings|PM25|Infant mortality", US_national_yearly!$D:$AM, 25, FALSE) / VLOOKUP("buildings|PM25|Infant mortality", US_national_yearly!$D:$AM, 10, FALSE), 1)</f>
        <v>8.9816106074015238E-6</v>
      </c>
      <c r="R3" s="7">
        <f>$B3 * IFERROR(VLOOKUP("buildings|PM25|Infant mortality", US_national_yearly!$D:$AM, 26, FALSE) / VLOOKUP("buildings|PM25|Infant mortality", US_national_yearly!$D:$AM, 10, FALSE), 1)</f>
        <v>8.9431075427778401E-6</v>
      </c>
      <c r="S3" s="7">
        <f>$B3 * IFERROR(VLOOKUP("buildings|PM25|Infant mortality", US_national_yearly!$D:$AM, 27, FALSE) / VLOOKUP("buildings|PM25|Infant mortality", US_national_yearly!$D:$AM, 10, FALSE), 1)</f>
        <v>8.8950338190250378E-6</v>
      </c>
      <c r="T3" s="7">
        <f>$B3 * IFERROR(VLOOKUP("buildings|PM25|Infant mortality", US_national_yearly!$D:$AM, 28, FALSE) / VLOOKUP("buildings|PM25|Infant mortality", US_national_yearly!$D:$AM, 10, FALSE), 1)</f>
        <v>8.8469600952722372E-6</v>
      </c>
      <c r="U3" s="7">
        <f>$B3 * IFERROR(VLOOKUP("buildings|PM25|Infant mortality", US_national_yearly!$D:$AM, 29, FALSE) / VLOOKUP("buildings|PM25|Infant mortality", US_national_yearly!$D:$AM, 10, FALSE), 1)</f>
        <v>8.7988863715194332E-6</v>
      </c>
      <c r="V3" s="7">
        <f>$B3 * IFERROR(VLOOKUP("buildings|PM25|Infant mortality", US_national_yearly!$D:$AM, 30, FALSE) / VLOOKUP("buildings|PM25|Infant mortality", US_national_yearly!$D:$AM, 10, FALSE), 1)</f>
        <v>8.7508126477666342E-6</v>
      </c>
      <c r="W3" s="7">
        <f>$B3 * IFERROR(VLOOKUP("buildings|PM25|Infant mortality", US_national_yearly!$D:$AM, 31, FALSE) / VLOOKUP("buildings|PM25|Infant mortality", US_national_yearly!$D:$AM, 10, FALSE), 1)</f>
        <v>8.7027389240138319E-6</v>
      </c>
      <c r="X3" s="7">
        <f>$B3 * IFERROR(VLOOKUP("buildings|PM25|Infant mortality", US_national_yearly!$D:$AM, 32, FALSE) / VLOOKUP("buildings|PM25|Infant mortality", US_national_yearly!$D:$AM, 10, FALSE), 1)</f>
        <v>8.6509813707177357E-6</v>
      </c>
      <c r="Y3" s="7">
        <f>$B3 * IFERROR(VLOOKUP("buildings|PM25|Infant mortality", US_national_yearly!$D:$AM, 33, FALSE) / VLOOKUP("buildings|PM25|Infant mortality", US_national_yearly!$D:$AM, 10, FALSE), 1)</f>
        <v>8.5992238174216412E-6</v>
      </c>
      <c r="Z3" s="7">
        <f>$B3 * IFERROR(VLOOKUP("buildings|PM25|Infant mortality", US_national_yearly!$D:$AM, 34, FALSE) / VLOOKUP("buildings|PM25|Infant mortality", US_national_yearly!$D:$AM, 10, FALSE), 1)</f>
        <v>8.547466264125545E-6</v>
      </c>
      <c r="AA3" s="7">
        <f>$B3 * IFERROR(VLOOKUP("buildings|PM25|Infant mortality", US_national_yearly!$D:$AM, 35, FALSE) / VLOOKUP("buildings|PM25|Infant mortality", US_national_yearly!$D:$AM, 10, FALSE), 1)</f>
        <v>8.4957087108294488E-6</v>
      </c>
      <c r="AB3" s="7">
        <f>$B3 * IFERROR(VLOOKUP("buildings|PM25|Infant mortality", US_national_yearly!$D:$AM, 36, FALSE) / VLOOKUP("buildings|PM25|Infant mortality", US_national_yearly!$D:$AM, 10, FALSE), 1)</f>
        <v>8.4439511575333543E-6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3.1776199303528041E-2</v>
      </c>
      <c r="C6" s="7">
        <f>$B6 * IFERROR(VLOOKUP("buildings|PM25|Asthma symptoms cough", US_national_yearly!$D:$AM, 11, FALSE) / VLOOKUP("buildings|PM25|Asthma symptoms cough", US_national_yearly!$D:$AM, 10, FALSE), 1)</f>
        <v>3.1776199303528041E-2</v>
      </c>
      <c r="D6" s="7">
        <f>$B6 * IFERROR(VLOOKUP("buildings|PM25|Asthma symptoms cough", US_national_yearly!$D:$AM, 12, FALSE) / VLOOKUP("buildings|PM25|Asthma symptoms cough", US_national_yearly!$D:$AM, 10, FALSE), 1)</f>
        <v>3.1776199303528041E-2</v>
      </c>
      <c r="E6" s="7">
        <f>$B6 * IFERROR(VLOOKUP("buildings|PM25|Asthma symptoms cough", US_national_yearly!$D:$AM, 13, FALSE) / VLOOKUP("buildings|PM25|Asthma symptoms cough", US_national_yearly!$D:$AM, 10, FALSE), 1)</f>
        <v>3.1776199303528041E-2</v>
      </c>
      <c r="F6" s="7">
        <f>$B6 * IFERROR(VLOOKUP("buildings|PM25|Asthma symptoms cough", US_national_yearly!$D:$AM, 14, FALSE) / VLOOKUP("buildings|PM25|Asthma symptoms cough", US_national_yearly!$D:$AM, 10, FALSE), 1)</f>
        <v>3.1776199303528041E-2</v>
      </c>
      <c r="G6" s="7">
        <f>$B6 * IFERROR(VLOOKUP("buildings|PM25|Asthma symptoms cough", US_national_yearly!$D:$AM, 15, FALSE) / VLOOKUP("buildings|PM25|Asthma symptoms cough", US_national_yearly!$D:$AM, 10, FALSE), 1)</f>
        <v>3.1776199303528041E-2</v>
      </c>
      <c r="H6" s="7">
        <f>$B6 * IFERROR(VLOOKUP("buildings|PM25|Asthma symptoms cough", US_national_yearly!$D:$AM, 16, FALSE) / VLOOKUP("buildings|PM25|Asthma symptoms cough", US_national_yearly!$D:$AM, 10, FALSE), 1)</f>
        <v>3.1776199303528041E-2</v>
      </c>
      <c r="I6" s="7">
        <f>$B6 * IFERROR(VLOOKUP("buildings|PM25|Asthma symptoms cough", US_national_yearly!$D:$AM, 17, FALSE) / VLOOKUP("buildings|PM25|Asthma symptoms cough", US_national_yearly!$D:$AM, 10, FALSE), 1)</f>
        <v>3.1776199303528041E-2</v>
      </c>
      <c r="J6" s="7">
        <f>$B6 * IFERROR(VLOOKUP("buildings|PM25|Asthma symptoms cough", US_national_yearly!$D:$AM, 18, FALSE) / VLOOKUP("buildings|PM25|Asthma symptoms cough", US_national_yearly!$D:$AM, 10, FALSE), 1)</f>
        <v>3.1776199303528041E-2</v>
      </c>
      <c r="K6" s="7">
        <f>$B6 * IFERROR(VLOOKUP("buildings|PM25|Asthma symptoms cough", US_national_yearly!$D:$AM, 19, FALSE) / VLOOKUP("buildings|PM25|Asthma symptoms cough", US_national_yearly!$D:$AM, 10, FALSE), 1)</f>
        <v>3.1776199303528041E-2</v>
      </c>
      <c r="L6" s="7">
        <f>$B6 * IFERROR(VLOOKUP("buildings|PM25|Asthma symptoms cough", US_national_yearly!$D:$AM, 20, FALSE) / VLOOKUP("buildings|PM25|Asthma symptoms cough", US_national_yearly!$D:$AM, 10, FALSE), 1)</f>
        <v>3.1776199303528041E-2</v>
      </c>
      <c r="M6" s="7">
        <f>$B6 * IFERROR(VLOOKUP("buildings|PM25|Asthma symptoms cough", US_national_yearly!$D:$AM, 21, FALSE) / VLOOKUP("buildings|PM25|Asthma symptoms cough", US_national_yearly!$D:$AM, 10, FALSE), 1)</f>
        <v>3.1776199303528041E-2</v>
      </c>
      <c r="N6" s="7">
        <f>$B6 * IFERROR(VLOOKUP("buildings|PM25|Asthma symptoms cough", US_national_yearly!$D:$AM, 22, FALSE) / VLOOKUP("buildings|PM25|Asthma symptoms cough", US_national_yearly!$D:$AM, 10, FALSE), 1)</f>
        <v>3.1776199303528041E-2</v>
      </c>
      <c r="O6" s="7">
        <f>$B6 * IFERROR(VLOOKUP("buildings|PM25|Asthma symptoms cough", US_national_yearly!$D:$AM, 23, FALSE) / VLOOKUP("buildings|PM25|Asthma symptoms cough", US_national_yearly!$D:$AM, 10, FALSE), 1)</f>
        <v>3.1776199303528041E-2</v>
      </c>
      <c r="P6" s="7">
        <f>$B6 * IFERROR(VLOOKUP("buildings|PM25|Asthma symptoms cough", US_national_yearly!$D:$AM, 24, FALSE) / VLOOKUP("buildings|PM25|Asthma symptoms cough", US_national_yearly!$D:$AM, 10, FALSE), 1)</f>
        <v>3.1776199303528041E-2</v>
      </c>
      <c r="Q6" s="7">
        <f>$B6 * IFERROR(VLOOKUP("buildings|PM25|Asthma symptoms cough", US_national_yearly!$D:$AM, 25, FALSE) / VLOOKUP("buildings|PM25|Asthma symptoms cough", US_national_yearly!$D:$AM, 10, FALSE), 1)</f>
        <v>3.1776199303528041E-2</v>
      </c>
      <c r="R6" s="7">
        <f>$B6 * IFERROR(VLOOKUP("buildings|PM25|Asthma symptoms cough", US_national_yearly!$D:$AM, 26, FALSE) / VLOOKUP("buildings|PM25|Asthma symptoms cough", US_national_yearly!$D:$AM, 10, FALSE), 1)</f>
        <v>3.1776199303528041E-2</v>
      </c>
      <c r="S6" s="7">
        <f>$B6 * IFERROR(VLOOKUP("buildings|PM25|Asthma symptoms cough", US_national_yearly!$D:$AM, 27, FALSE) / VLOOKUP("buildings|PM25|Asthma symptoms cough", US_national_yearly!$D:$AM, 10, FALSE), 1)</f>
        <v>3.1776199303528041E-2</v>
      </c>
      <c r="T6" s="7">
        <f>$B6 * IFERROR(VLOOKUP("buildings|PM25|Asthma symptoms cough", US_national_yearly!$D:$AM, 28, FALSE) / VLOOKUP("buildings|PM25|Asthma symptoms cough", US_national_yearly!$D:$AM, 10, FALSE), 1)</f>
        <v>3.1776199303528041E-2</v>
      </c>
      <c r="U6" s="7">
        <f>$B6 * IFERROR(VLOOKUP("buildings|PM25|Asthma symptoms cough", US_national_yearly!$D:$AM, 29, FALSE) / VLOOKUP("buildings|PM25|Asthma symptoms cough", US_national_yearly!$D:$AM, 10, FALSE), 1)</f>
        <v>3.1776199303528041E-2</v>
      </c>
      <c r="V6" s="7">
        <f>$B6 * IFERROR(VLOOKUP("buildings|PM25|Asthma symptoms cough", US_national_yearly!$D:$AM, 30, FALSE) / VLOOKUP("buildings|PM25|Asthma symptoms cough", US_national_yearly!$D:$AM, 10, FALSE), 1)</f>
        <v>3.1776199303528041E-2</v>
      </c>
      <c r="W6" s="7">
        <f>$B6 * IFERROR(VLOOKUP("buildings|PM25|Asthma symptoms cough", US_national_yearly!$D:$AM, 31, FALSE) / VLOOKUP("buildings|PM25|Asthma symptoms cough", US_national_yearly!$D:$AM, 10, FALSE), 1)</f>
        <v>3.1776199303528041E-2</v>
      </c>
      <c r="X6" s="7">
        <f>$B6 * IFERROR(VLOOKUP("buildings|PM25|Asthma symptoms cough", US_national_yearly!$D:$AM, 32, FALSE) / VLOOKUP("buildings|PM25|Asthma symptoms cough", US_national_yearly!$D:$AM, 10, FALSE), 1)</f>
        <v>3.1776199303528041E-2</v>
      </c>
      <c r="Y6" s="7">
        <f>$B6 * IFERROR(VLOOKUP("buildings|PM25|Asthma symptoms cough", US_national_yearly!$D:$AM, 33, FALSE) / VLOOKUP("buildings|PM25|Asthma symptoms cough", US_national_yearly!$D:$AM, 10, FALSE), 1)</f>
        <v>3.1776199303528041E-2</v>
      </c>
      <c r="Z6" s="7">
        <f>$B6 * IFERROR(VLOOKUP("buildings|PM25|Asthma symptoms cough", US_national_yearly!$D:$AM, 34, FALSE) / VLOOKUP("buildings|PM25|Asthma symptoms cough", US_national_yearly!$D:$AM, 10, FALSE), 1)</f>
        <v>3.1776199303528041E-2</v>
      </c>
      <c r="AA6" s="7">
        <f>$B6 * IFERROR(VLOOKUP("buildings|PM25|Asthma symptoms cough", US_national_yearly!$D:$AM, 35, FALSE) / VLOOKUP("buildings|PM25|Asthma symptoms cough", US_national_yearly!$D:$AM, 10, FALSE), 1)</f>
        <v>3.1776199303528041E-2</v>
      </c>
      <c r="AB6" s="7">
        <f>$B6 * IFERROR(VLOOKUP("buildings|PM25|Asthma symptoms cough", US_national_yearly!$D:$AM, 36, FALSE) / VLOOKUP("buildings|PM25|Asthma symptoms cough", US_national_yearly!$D:$AM, 10, FALSE), 1)</f>
        <v>3.1776199303528041E-2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4.2791307957964028E-2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4.2791307957964028E-2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4.2791307957964028E-2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4.2791307957964028E-2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4.2791307957964028E-2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4.2791307957964028E-2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4.2791307957964028E-2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4.2791307957964028E-2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4.2791307957964028E-2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4.2791307957964028E-2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4.2791307957964028E-2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4.2791307957964028E-2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4.2791307957964028E-2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4.2791307957964028E-2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4.2791307957964028E-2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4.2791307957964028E-2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4.2791307957964028E-2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4.2791307957964028E-2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4.2791307957964028E-2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4.2791307957964028E-2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4.2791307957964028E-2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4.2791307957964028E-2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4.2791307957964028E-2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4.2791307957964028E-2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4.2791307957964028E-2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4.2791307957964028E-2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4.2791307957964028E-2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6.5377706767395349E-2</v>
      </c>
      <c r="C8" s="7">
        <f>$B8 * IFERROR(VLOOKUP("buildings|PM25|Asthma symptoms wheeze", US_national_yearly!$D:$AM, 11, FALSE) / VLOOKUP("buildings|PM25|Asthma symptoms wheeze", US_national_yearly!$D:$AM, 10, FALSE), 1)</f>
        <v>6.5377706767395349E-2</v>
      </c>
      <c r="D8" s="7">
        <f>$B8 * IFERROR(VLOOKUP("buildings|PM25|Asthma symptoms wheeze", US_national_yearly!$D:$AM, 12, FALSE) / VLOOKUP("buildings|PM25|Asthma symptoms wheeze", US_national_yearly!$D:$AM, 10, FALSE), 1)</f>
        <v>6.5377706767395349E-2</v>
      </c>
      <c r="E8" s="7">
        <f>$B8 * IFERROR(VLOOKUP("buildings|PM25|Asthma symptoms wheeze", US_national_yearly!$D:$AM, 13, FALSE) / VLOOKUP("buildings|PM25|Asthma symptoms wheeze", US_national_yearly!$D:$AM, 10, FALSE), 1)</f>
        <v>6.5377706767395349E-2</v>
      </c>
      <c r="F8" s="7">
        <f>$B8 * IFERROR(VLOOKUP("buildings|PM25|Asthma symptoms wheeze", US_national_yearly!$D:$AM, 14, FALSE) / VLOOKUP("buildings|PM25|Asthma symptoms wheeze", US_national_yearly!$D:$AM, 10, FALSE), 1)</f>
        <v>6.5377706767395349E-2</v>
      </c>
      <c r="G8" s="7">
        <f>$B8 * IFERROR(VLOOKUP("buildings|PM25|Asthma symptoms wheeze", US_national_yearly!$D:$AM, 15, FALSE) / VLOOKUP("buildings|PM25|Asthma symptoms wheeze", US_national_yearly!$D:$AM, 10, FALSE), 1)</f>
        <v>6.5377706767395349E-2</v>
      </c>
      <c r="H8" s="7">
        <f>$B8 * IFERROR(VLOOKUP("buildings|PM25|Asthma symptoms wheeze", US_national_yearly!$D:$AM, 16, FALSE) / VLOOKUP("buildings|PM25|Asthma symptoms wheeze", US_national_yearly!$D:$AM, 10, FALSE), 1)</f>
        <v>6.5377706767395349E-2</v>
      </c>
      <c r="I8" s="7">
        <f>$B8 * IFERROR(VLOOKUP("buildings|PM25|Asthma symptoms wheeze", US_national_yearly!$D:$AM, 17, FALSE) / VLOOKUP("buildings|PM25|Asthma symptoms wheeze", US_national_yearly!$D:$AM, 10, FALSE), 1)</f>
        <v>6.5377706767395349E-2</v>
      </c>
      <c r="J8" s="7">
        <f>$B8 * IFERROR(VLOOKUP("buildings|PM25|Asthma symptoms wheeze", US_national_yearly!$D:$AM, 18, FALSE) / VLOOKUP("buildings|PM25|Asthma symptoms wheeze", US_national_yearly!$D:$AM, 10, FALSE), 1)</f>
        <v>6.5377706767395349E-2</v>
      </c>
      <c r="K8" s="7">
        <f>$B8 * IFERROR(VLOOKUP("buildings|PM25|Asthma symptoms wheeze", US_national_yearly!$D:$AM, 19, FALSE) / VLOOKUP("buildings|PM25|Asthma symptoms wheeze", US_national_yearly!$D:$AM, 10, FALSE), 1)</f>
        <v>6.5377706767395349E-2</v>
      </c>
      <c r="L8" s="7">
        <f>$B8 * IFERROR(VLOOKUP("buildings|PM25|Asthma symptoms wheeze", US_national_yearly!$D:$AM, 20, FALSE) / VLOOKUP("buildings|PM25|Asthma symptoms wheeze", US_national_yearly!$D:$AM, 10, FALSE), 1)</f>
        <v>6.5377706767395349E-2</v>
      </c>
      <c r="M8" s="7">
        <f>$B8 * IFERROR(VLOOKUP("buildings|PM25|Asthma symptoms wheeze", US_national_yearly!$D:$AM, 21, FALSE) / VLOOKUP("buildings|PM25|Asthma symptoms wheeze", US_national_yearly!$D:$AM, 10, FALSE), 1)</f>
        <v>6.5377706767395349E-2</v>
      </c>
      <c r="N8" s="7">
        <f>$B8 * IFERROR(VLOOKUP("buildings|PM25|Asthma symptoms wheeze", US_national_yearly!$D:$AM, 22, FALSE) / VLOOKUP("buildings|PM25|Asthma symptoms wheeze", US_national_yearly!$D:$AM, 10, FALSE), 1)</f>
        <v>6.5377706767395349E-2</v>
      </c>
      <c r="O8" s="7">
        <f>$B8 * IFERROR(VLOOKUP("buildings|PM25|Asthma symptoms wheeze", US_national_yearly!$D:$AM, 23, FALSE) / VLOOKUP("buildings|PM25|Asthma symptoms wheeze", US_national_yearly!$D:$AM, 10, FALSE), 1)</f>
        <v>6.5377706767395349E-2</v>
      </c>
      <c r="P8" s="7">
        <f>$B8 * IFERROR(VLOOKUP("buildings|PM25|Asthma symptoms wheeze", US_national_yearly!$D:$AM, 24, FALSE) / VLOOKUP("buildings|PM25|Asthma symptoms wheeze", US_national_yearly!$D:$AM, 10, FALSE), 1)</f>
        <v>6.5377706767395349E-2</v>
      </c>
      <c r="Q8" s="7">
        <f>$B8 * IFERROR(VLOOKUP("buildings|PM25|Asthma symptoms wheeze", US_national_yearly!$D:$AM, 25, FALSE) / VLOOKUP("buildings|PM25|Asthma symptoms wheeze", US_national_yearly!$D:$AM, 10, FALSE), 1)</f>
        <v>6.5377706767395349E-2</v>
      </c>
      <c r="R8" s="7">
        <f>$B8 * IFERROR(VLOOKUP("buildings|PM25|Asthma symptoms wheeze", US_national_yearly!$D:$AM, 26, FALSE) / VLOOKUP("buildings|PM25|Asthma symptoms wheeze", US_national_yearly!$D:$AM, 10, FALSE), 1)</f>
        <v>6.5377706767395349E-2</v>
      </c>
      <c r="S8" s="7">
        <f>$B8 * IFERROR(VLOOKUP("buildings|PM25|Asthma symptoms wheeze", US_national_yearly!$D:$AM, 27, FALSE) / VLOOKUP("buildings|PM25|Asthma symptoms wheeze", US_national_yearly!$D:$AM, 10, FALSE), 1)</f>
        <v>6.5377706767395349E-2</v>
      </c>
      <c r="T8" s="7">
        <f>$B8 * IFERROR(VLOOKUP("buildings|PM25|Asthma symptoms wheeze", US_national_yearly!$D:$AM, 28, FALSE) / VLOOKUP("buildings|PM25|Asthma symptoms wheeze", US_national_yearly!$D:$AM, 10, FALSE), 1)</f>
        <v>6.5377706767395349E-2</v>
      </c>
      <c r="U8" s="7">
        <f>$B8 * IFERROR(VLOOKUP("buildings|PM25|Asthma symptoms wheeze", US_national_yearly!$D:$AM, 29, FALSE) / VLOOKUP("buildings|PM25|Asthma symptoms wheeze", US_national_yearly!$D:$AM, 10, FALSE), 1)</f>
        <v>6.5377706767395349E-2</v>
      </c>
      <c r="V8" s="7">
        <f>$B8 * IFERROR(VLOOKUP("buildings|PM25|Asthma symptoms wheeze", US_national_yearly!$D:$AM, 30, FALSE) / VLOOKUP("buildings|PM25|Asthma symptoms wheeze", US_national_yearly!$D:$AM, 10, FALSE), 1)</f>
        <v>6.5377706767395349E-2</v>
      </c>
      <c r="W8" s="7">
        <f>$B8 * IFERROR(VLOOKUP("buildings|PM25|Asthma symptoms wheeze", US_national_yearly!$D:$AM, 31, FALSE) / VLOOKUP("buildings|PM25|Asthma symptoms wheeze", US_national_yearly!$D:$AM, 10, FALSE), 1)</f>
        <v>6.5377706767395349E-2</v>
      </c>
      <c r="X8" s="7">
        <f>$B8 * IFERROR(VLOOKUP("buildings|PM25|Asthma symptoms wheeze", US_national_yearly!$D:$AM, 32, FALSE) / VLOOKUP("buildings|PM25|Asthma symptoms wheeze", US_national_yearly!$D:$AM, 10, FALSE), 1)</f>
        <v>6.5377706767395349E-2</v>
      </c>
      <c r="Y8" s="7">
        <f>$B8 * IFERROR(VLOOKUP("buildings|PM25|Asthma symptoms wheeze", US_national_yearly!$D:$AM, 33, FALSE) / VLOOKUP("buildings|PM25|Asthma symptoms wheeze", US_national_yearly!$D:$AM, 10, FALSE), 1)</f>
        <v>6.5377706767395349E-2</v>
      </c>
      <c r="Z8" s="7">
        <f>$B8 * IFERROR(VLOOKUP("buildings|PM25|Asthma symptoms wheeze", US_national_yearly!$D:$AM, 34, FALSE) / VLOOKUP("buildings|PM25|Asthma symptoms wheeze", US_national_yearly!$D:$AM, 10, FALSE), 1)</f>
        <v>6.5377706767395349E-2</v>
      </c>
      <c r="AA8" s="7">
        <f>$B8 * IFERROR(VLOOKUP("buildings|PM25|Asthma symptoms wheeze", US_national_yearly!$D:$AM, 35, FALSE) / VLOOKUP("buildings|PM25|Asthma symptoms wheeze", US_national_yearly!$D:$AM, 10, FALSE), 1)</f>
        <v>6.5377706767395349E-2</v>
      </c>
      <c r="AB8" s="7">
        <f>$B8 * IFERROR(VLOOKUP("buildings|PM25|Asthma symptoms wheeze", US_national_yearly!$D:$AM, 36, FALSE) / VLOOKUP("buildings|PM25|Asthma symptoms wheeze", US_national_yearly!$D:$AM, 10, FALSE), 1)</f>
        <v>6.5377706767395349E-2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6.9186396148638652E-4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6.9585198039474818E-4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6.9983999930310994E-4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7.038280182114717E-4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7.0781603711983347E-4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7.1211947900525028E-4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7.1642292089066719E-4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7.2051588327653527E-4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7.2460884566240323E-4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7.2870180804827109E-4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7.3279477043413917E-4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7.3688773282000713E-4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7.3983168153907836E-4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7.4277563025814959E-4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7.4571957897722071E-4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7.4866352769629183E-4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7.5160747641536305E-4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7.5441239100352447E-4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7.5721730559168631E-4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7.6002222017984783E-4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7.6282713476800935E-4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7.6563204935617109E-4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7.6834115221899215E-4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7.7105025508181332E-4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7.7375935794463438E-4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7.7646846080745555E-4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7.7917756367027662E-4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4.1855750205576393E-3</v>
      </c>
      <c r="C13" s="7">
        <f>$B13 * IFERROR(VLOOKUP("buildings|PM25|Non-fatal heart attacks", US_national_yearly!$D:$AM, 11, FALSE) / VLOOKUP("buildings|PM25|Non-fatal heart attacks", US_national_yearly!$D:$AM, 10, FALSE), 1)</f>
        <v>4.3073183927365664E-3</v>
      </c>
      <c r="D13" s="7">
        <f>$B13 * IFERROR(VLOOKUP("buildings|PM25|Non-fatal heart attacks", US_national_yearly!$D:$AM, 12, FALSE) / VLOOKUP("buildings|PM25|Non-fatal heart attacks", US_national_yearly!$D:$AM, 10, FALSE), 1)</f>
        <v>4.4290617649154918E-3</v>
      </c>
      <c r="E13" s="7">
        <f>$B13 * IFERROR(VLOOKUP("buildings|PM25|Non-fatal heart attacks", US_national_yearly!$D:$AM, 13, FALSE) / VLOOKUP("buildings|PM25|Non-fatal heart attacks", US_national_yearly!$D:$AM, 10, FALSE), 1)</f>
        <v>4.5508051370944181E-3</v>
      </c>
      <c r="F13" s="7">
        <f>$B13 * IFERROR(VLOOKUP("buildings|PM25|Non-fatal heart attacks", US_national_yearly!$D:$AM, 14, FALSE) / VLOOKUP("buildings|PM25|Non-fatal heart attacks", US_national_yearly!$D:$AM, 10, FALSE), 1)</f>
        <v>4.6725485092733443E-3</v>
      </c>
      <c r="G13" s="7">
        <f>$B13 * IFERROR(VLOOKUP("buildings|PM25|Non-fatal heart attacks", US_national_yearly!$D:$AM, 15, FALSE) / VLOOKUP("buildings|PM25|Non-fatal heart attacks", US_national_yearly!$D:$AM, 10, FALSE), 1)</f>
        <v>4.7874203343173183E-3</v>
      </c>
      <c r="H13" s="7">
        <f>$B13 * IFERROR(VLOOKUP("buildings|PM25|Non-fatal heart attacks", US_national_yearly!$D:$AM, 16, FALSE) / VLOOKUP("buildings|PM25|Non-fatal heart attacks", US_national_yearly!$D:$AM, 10, FALSE), 1)</f>
        <v>4.9022921593612906E-3</v>
      </c>
      <c r="I13" s="7">
        <f>$B13 * IFERROR(VLOOKUP("buildings|PM25|Non-fatal heart attacks", US_national_yearly!$D:$AM, 17, FALSE) / VLOOKUP("buildings|PM25|Non-fatal heart attacks", US_national_yearly!$D:$AM, 10, FALSE), 1)</f>
        <v>4.9947154645707485E-3</v>
      </c>
      <c r="J13" s="7">
        <f>$B13 * IFERROR(VLOOKUP("buildings|PM25|Non-fatal heart attacks", US_national_yearly!$D:$AM, 18, FALSE) / VLOOKUP("buildings|PM25|Non-fatal heart attacks", US_national_yearly!$D:$AM, 10, FALSE), 1)</f>
        <v>5.0871387697802063E-3</v>
      </c>
      <c r="K13" s="7">
        <f>$B13 * IFERROR(VLOOKUP("buildings|PM25|Non-fatal heart attacks", US_national_yearly!$D:$AM, 19, FALSE) / VLOOKUP("buildings|PM25|Non-fatal heart attacks", US_national_yearly!$D:$AM, 10, FALSE), 1)</f>
        <v>5.1795620749896633E-3</v>
      </c>
      <c r="L13" s="7">
        <f>$B13 * IFERROR(VLOOKUP("buildings|PM25|Non-fatal heart attacks", US_national_yearly!$D:$AM, 20, FALSE) / VLOOKUP("buildings|PM25|Non-fatal heart attacks", US_national_yearly!$D:$AM, 10, FALSE), 1)</f>
        <v>5.2719853801991194E-3</v>
      </c>
      <c r="M13" s="7">
        <f>$B13 * IFERROR(VLOOKUP("buildings|PM25|Non-fatal heart attacks", US_national_yearly!$D:$AM, 21, FALSE) / VLOOKUP("buildings|PM25|Non-fatal heart attacks", US_national_yearly!$D:$AM, 10, FALSE), 1)</f>
        <v>5.3644086854085764E-3</v>
      </c>
      <c r="N13" s="7">
        <f>$B13 * IFERROR(VLOOKUP("buildings|PM25|Non-fatal heart attacks", US_national_yearly!$D:$AM, 22, FALSE) / VLOOKUP("buildings|PM25|Non-fatal heart attacks", US_national_yearly!$D:$AM, 10, FALSE), 1)</f>
        <v>5.424115584528961E-3</v>
      </c>
      <c r="O13" s="7">
        <f>$B13 * IFERROR(VLOOKUP("buildings|PM25|Non-fatal heart attacks", US_national_yearly!$D:$AM, 23, FALSE) / VLOOKUP("buildings|PM25|Non-fatal heart attacks", US_national_yearly!$D:$AM, 10, FALSE), 1)</f>
        <v>5.4838224836493438E-3</v>
      </c>
      <c r="P13" s="7">
        <f>$B13 * IFERROR(VLOOKUP("buildings|PM25|Non-fatal heart attacks", US_national_yearly!$D:$AM, 24, FALSE) / VLOOKUP("buildings|PM25|Non-fatal heart attacks", US_national_yearly!$D:$AM, 10, FALSE), 1)</f>
        <v>5.5435293827697275E-3</v>
      </c>
      <c r="Q13" s="7">
        <f>$B13 * IFERROR(VLOOKUP("buildings|PM25|Non-fatal heart attacks", US_national_yearly!$D:$AM, 25, FALSE) / VLOOKUP("buildings|PM25|Non-fatal heart attacks", US_national_yearly!$D:$AM, 10, FALSE), 1)</f>
        <v>5.6032362818901112E-3</v>
      </c>
      <c r="R13" s="7">
        <f>$B13 * IFERROR(VLOOKUP("buildings|PM25|Non-fatal heart attacks", US_national_yearly!$D:$AM, 26, FALSE) / VLOOKUP("buildings|PM25|Non-fatal heart attacks", US_national_yearly!$D:$AM, 10, FALSE), 1)</f>
        <v>5.6629431810104949E-3</v>
      </c>
      <c r="S13" s="7">
        <f>$B13 * IFERROR(VLOOKUP("buildings|PM25|Non-fatal heart attacks", US_national_yearly!$D:$AM, 27, FALSE) / VLOOKUP("buildings|PM25|Non-fatal heart attacks", US_national_yearly!$D:$AM, 10, FALSE), 1)</f>
        <v>5.6945227296718694E-3</v>
      </c>
      <c r="T13" s="7">
        <f>$B13 * IFERROR(VLOOKUP("buildings|PM25|Non-fatal heart attacks", US_national_yearly!$D:$AM, 28, FALSE) / VLOOKUP("buildings|PM25|Non-fatal heart attacks", US_national_yearly!$D:$AM, 10, FALSE), 1)</f>
        <v>5.7261022783332447E-3</v>
      </c>
      <c r="U13" s="7">
        <f>$B13 * IFERROR(VLOOKUP("buildings|PM25|Non-fatal heart attacks", US_national_yearly!$D:$AM, 29, FALSE) / VLOOKUP("buildings|PM25|Non-fatal heart attacks", US_national_yearly!$D:$AM, 10, FALSE), 1)</f>
        <v>5.7576818269946201E-3</v>
      </c>
      <c r="V13" s="7">
        <f>$B13 * IFERROR(VLOOKUP("buildings|PM25|Non-fatal heart attacks", US_national_yearly!$D:$AM, 30, FALSE) / VLOOKUP("buildings|PM25|Non-fatal heart attacks", US_national_yearly!$D:$AM, 10, FALSE), 1)</f>
        <v>5.7892613756559946E-3</v>
      </c>
      <c r="W13" s="7">
        <f>$B13 * IFERROR(VLOOKUP("buildings|PM25|Non-fatal heart attacks", US_national_yearly!$D:$AM, 31, FALSE) / VLOOKUP("buildings|PM25|Non-fatal heart attacks", US_national_yearly!$D:$AM, 10, FALSE), 1)</f>
        <v>5.8208409243173699E-3</v>
      </c>
      <c r="X13" s="7">
        <f>$B13 * IFERROR(VLOOKUP("buildings|PM25|Non-fatal heart attacks", US_national_yearly!$D:$AM, 32, FALSE) / VLOOKUP("buildings|PM25|Non-fatal heart attacks", US_national_yearly!$D:$AM, 10, FALSE), 1)</f>
        <v>5.8448752673659439E-3</v>
      </c>
      <c r="Y13" s="7">
        <f>$B13 * IFERROR(VLOOKUP("buildings|PM25|Non-fatal heart attacks", US_national_yearly!$D:$AM, 33, FALSE) / VLOOKUP("buildings|PM25|Non-fatal heart attacks", US_national_yearly!$D:$AM, 10, FALSE), 1)</f>
        <v>5.8689096104145178E-3</v>
      </c>
      <c r="Z13" s="7">
        <f>$B13 * IFERROR(VLOOKUP("buildings|PM25|Non-fatal heart attacks", US_national_yearly!$D:$AM, 34, FALSE) / VLOOKUP("buildings|PM25|Non-fatal heart attacks", US_national_yearly!$D:$AM, 10, FALSE), 1)</f>
        <v>5.8929439534630909E-3</v>
      </c>
      <c r="AA13" s="7">
        <f>$B13 * IFERROR(VLOOKUP("buildings|PM25|Non-fatal heart attacks", US_national_yearly!$D:$AM, 35, FALSE) / VLOOKUP("buildings|PM25|Non-fatal heart attacks", US_national_yearly!$D:$AM, 10, FALSE), 1)</f>
        <v>5.9169782965116649E-3</v>
      </c>
      <c r="AB13" s="7">
        <f>$B13 * IFERROR(VLOOKUP("buildings|PM25|Non-fatal heart attacks", US_national_yearly!$D:$AM, 36, FALSE) / VLOOKUP("buildings|PM25|Non-fatal heart attacks", US_national_yearly!$D:$AM, 10, FALSE), 1)</f>
        <v>5.9410126395602406E-3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3.5256403221041346</v>
      </c>
      <c r="C14" s="7">
        <f>$B14 * IFERROR(VLOOKUP("buildings|PM25|Minor restricted activity days", US_national_yearly!$D:$AM, 11, FALSE) / VLOOKUP("buildings|PM25|Minor restricted activity days", US_national_yearly!$D:$AM, 10, FALSE), 1)</f>
        <v>3.5344087872412642</v>
      </c>
      <c r="D14" s="7">
        <f>$B14 * IFERROR(VLOOKUP("buildings|PM25|Minor restricted activity days", US_national_yearly!$D:$AM, 12, FALSE) / VLOOKUP("buildings|PM25|Minor restricted activity days", US_national_yearly!$D:$AM, 10, FALSE), 1)</f>
        <v>3.5431772523783938</v>
      </c>
      <c r="E14" s="7">
        <f>$B14 * IFERROR(VLOOKUP("buildings|PM25|Minor restricted activity days", US_national_yearly!$D:$AM, 13, FALSE) / VLOOKUP("buildings|PM25|Minor restricted activity days", US_national_yearly!$D:$AM, 10, FALSE), 1)</f>
        <v>3.5519457175155238</v>
      </c>
      <c r="F14" s="7">
        <f>$B14 * IFERROR(VLOOKUP("buildings|PM25|Minor restricted activity days", US_national_yearly!$D:$AM, 14, FALSE) / VLOOKUP("buildings|PM25|Minor restricted activity days", US_national_yearly!$D:$AM, 10, FALSE), 1)</f>
        <v>3.5607141826526525</v>
      </c>
      <c r="G14" s="7">
        <f>$B14 * IFERROR(VLOOKUP("buildings|PM25|Minor restricted activity days", US_national_yearly!$D:$AM, 15, FALSE) / VLOOKUP("buildings|PM25|Minor restricted activity days", US_national_yearly!$D:$AM, 10, FALSE), 1)</f>
        <v>3.5735748587124339</v>
      </c>
      <c r="H14" s="7">
        <f>$B14 * IFERROR(VLOOKUP("buildings|PM25|Minor restricted activity days", US_national_yearly!$D:$AM, 16, FALSE) / VLOOKUP("buildings|PM25|Minor restricted activity days", US_national_yearly!$D:$AM, 10, FALSE), 1)</f>
        <v>3.5864355347722134</v>
      </c>
      <c r="I14" s="7">
        <f>$B14 * IFERROR(VLOOKUP("buildings|PM25|Minor restricted activity days", US_national_yearly!$D:$AM, 17, FALSE) / VLOOKUP("buildings|PM25|Minor restricted activity days", US_national_yearly!$D:$AM, 10, FALSE), 1)</f>
        <v>3.6083044572463385</v>
      </c>
      <c r="J14" s="7">
        <f>$B14 * IFERROR(VLOOKUP("buildings|PM25|Minor restricted activity days", US_national_yearly!$D:$AM, 18, FALSE) / VLOOKUP("buildings|PM25|Minor restricted activity days", US_national_yearly!$D:$AM, 10, FALSE), 1)</f>
        <v>3.6301733797204654</v>
      </c>
      <c r="K14" s="7">
        <f>$B14 * IFERROR(VLOOKUP("buildings|PM25|Minor restricted activity days", US_national_yearly!$D:$AM, 19, FALSE) / VLOOKUP("buildings|PM25|Minor restricted activity days", US_national_yearly!$D:$AM, 10, FALSE), 1)</f>
        <v>3.6520423021945887</v>
      </c>
      <c r="L14" s="7">
        <f>$B14 * IFERROR(VLOOKUP("buildings|PM25|Minor restricted activity days", US_national_yearly!$D:$AM, 20, FALSE) / VLOOKUP("buildings|PM25|Minor restricted activity days", US_national_yearly!$D:$AM, 10, FALSE), 1)</f>
        <v>3.6739112246687133</v>
      </c>
      <c r="M14" s="7">
        <f>$B14 * IFERROR(VLOOKUP("buildings|PM25|Minor restricted activity days", US_national_yearly!$D:$AM, 21, FALSE) / VLOOKUP("buildings|PM25|Minor restricted activity days", US_national_yearly!$D:$AM, 10, FALSE), 1)</f>
        <v>3.6957801471428375</v>
      </c>
      <c r="N14" s="7">
        <f>$B14 * IFERROR(VLOOKUP("buildings|PM25|Minor restricted activity days", US_national_yearly!$D:$AM, 22, FALSE) / VLOOKUP("buildings|PM25|Minor restricted activity days", US_national_yearly!$D:$AM, 10, FALSE), 1)</f>
        <v>3.7254947366081299</v>
      </c>
      <c r="O14" s="7">
        <f>$B14 * IFERROR(VLOOKUP("buildings|PM25|Minor restricted activity days", US_national_yearly!$D:$AM, 23, FALSE) / VLOOKUP("buildings|PM25|Minor restricted activity days", US_national_yearly!$D:$AM, 10, FALSE), 1)</f>
        <v>3.7552093260734214</v>
      </c>
      <c r="P14" s="7">
        <f>$B14 * IFERROR(VLOOKUP("buildings|PM25|Minor restricted activity days", US_national_yearly!$D:$AM, 24, FALSE) / VLOOKUP("buildings|PM25|Minor restricted activity days", US_national_yearly!$D:$AM, 10, FALSE), 1)</f>
        <v>3.7849239155387133</v>
      </c>
      <c r="Q14" s="7">
        <f>$B14 * IFERROR(VLOOKUP("buildings|PM25|Minor restricted activity days", US_national_yearly!$D:$AM, 25, FALSE) / VLOOKUP("buildings|PM25|Minor restricted activity days", US_national_yearly!$D:$AM, 10, FALSE), 1)</f>
        <v>3.8146385050040048</v>
      </c>
      <c r="R14" s="7">
        <f>$B14 * IFERROR(VLOOKUP("buildings|PM25|Minor restricted activity days", US_national_yearly!$D:$AM, 26, FALSE) / VLOOKUP("buildings|PM25|Minor restricted activity days", US_national_yearly!$D:$AM, 10, FALSE), 1)</f>
        <v>3.8443530944692963</v>
      </c>
      <c r="S14" s="7">
        <f>$B14 * IFERROR(VLOOKUP("buildings|PM25|Minor restricted activity days", US_national_yearly!$D:$AM, 27, FALSE) / VLOOKUP("buildings|PM25|Minor restricted activity days", US_national_yearly!$D:$AM, 10, FALSE), 1)</f>
        <v>3.8742518268529209</v>
      </c>
      <c r="T14" s="7">
        <f>$B14 * IFERROR(VLOOKUP("buildings|PM25|Minor restricted activity days", US_national_yearly!$D:$AM, 28, FALSE) / VLOOKUP("buildings|PM25|Minor restricted activity days", US_national_yearly!$D:$AM, 10, FALSE), 1)</f>
        <v>3.9041505592365451</v>
      </c>
      <c r="U14" s="7">
        <f>$B14 * IFERROR(VLOOKUP("buildings|PM25|Minor restricted activity days", US_national_yearly!$D:$AM, 29, FALSE) / VLOOKUP("buildings|PM25|Minor restricted activity days", US_national_yearly!$D:$AM, 10, FALSE), 1)</f>
        <v>3.9340492916201697</v>
      </c>
      <c r="V14" s="7">
        <f>$B14 * IFERROR(VLOOKUP("buildings|PM25|Minor restricted activity days", US_national_yearly!$D:$AM, 30, FALSE) / VLOOKUP("buildings|PM25|Minor restricted activity days", US_national_yearly!$D:$AM, 10, FALSE), 1)</f>
        <v>3.9639480240037939</v>
      </c>
      <c r="W14" s="7">
        <f>$B14 * IFERROR(VLOOKUP("buildings|PM25|Minor restricted activity days", US_national_yearly!$D:$AM, 31, FALSE) / VLOOKUP("buildings|PM25|Minor restricted activity days", US_national_yearly!$D:$AM, 10, FALSE), 1)</f>
        <v>3.9938467563874185</v>
      </c>
      <c r="X14" s="7">
        <f>$B14 * IFERROR(VLOOKUP("buildings|PM25|Minor restricted activity days", US_national_yearly!$D:$AM, 32, FALSE) / VLOOKUP("buildings|PM25|Minor restricted activity days", US_national_yearly!$D:$AM, 10, FALSE), 1)</f>
        <v>4.0198079928607742</v>
      </c>
      <c r="Y14" s="7">
        <f>$B14 * IFERROR(VLOOKUP("buildings|PM25|Minor restricted activity days", US_national_yearly!$D:$AM, 33, FALSE) / VLOOKUP("buildings|PM25|Minor restricted activity days", US_national_yearly!$D:$AM, 10, FALSE), 1)</f>
        <v>4.0457692293341285</v>
      </c>
      <c r="Z14" s="7">
        <f>$B14 * IFERROR(VLOOKUP("buildings|PM25|Minor restricted activity days", US_national_yearly!$D:$AM, 34, FALSE) / VLOOKUP("buildings|PM25|Minor restricted activity days", US_national_yearly!$D:$AM, 10, FALSE), 1)</f>
        <v>4.0717304658074829</v>
      </c>
      <c r="AA14" s="7">
        <f>$B14 * IFERROR(VLOOKUP("buildings|PM25|Minor restricted activity days", US_national_yearly!$D:$AM, 35, FALSE) / VLOOKUP("buildings|PM25|Minor restricted activity days", US_national_yearly!$D:$AM, 10, FALSE), 1)</f>
        <v>4.0976917022808372</v>
      </c>
      <c r="AB14" s="7">
        <f>$B14 * IFERROR(VLOOKUP("buildings|PM25|Minor restricted activity days", US_national_yearly!$D:$AM, 36, FALSE) / VLOOKUP("buildings|PM25|Minor restricted activity days", US_national_yearly!$D:$AM, 10, FALSE), 1)</f>
        <v>4.1236529387541925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0.59831072400317376</v>
      </c>
      <c r="C15" s="7">
        <f>$B15 * IFERROR(VLOOKUP("buildings|PM25|Work loss days", US_national_yearly!$D:$AM, 11, FALSE) / VLOOKUP("buildings|PM25|Work loss days", US_national_yearly!$D:$AM, 10, FALSE), 1)</f>
        <v>0.6001883520868575</v>
      </c>
      <c r="D15" s="7">
        <f>$B15 * IFERROR(VLOOKUP("buildings|PM25|Work loss days", US_national_yearly!$D:$AM, 12, FALSE) / VLOOKUP("buildings|PM25|Work loss days", US_national_yearly!$D:$AM, 10, FALSE), 1)</f>
        <v>0.60206598017054114</v>
      </c>
      <c r="E15" s="7">
        <f>$B15 * IFERROR(VLOOKUP("buildings|PM25|Work loss days", US_national_yearly!$D:$AM, 13, FALSE) / VLOOKUP("buildings|PM25|Work loss days", US_national_yearly!$D:$AM, 10, FALSE), 1)</f>
        <v>0.60394360825422466</v>
      </c>
      <c r="F15" s="7">
        <f>$B15 * IFERROR(VLOOKUP("buildings|PM25|Work loss days", US_national_yearly!$D:$AM, 14, FALSE) / VLOOKUP("buildings|PM25|Work loss days", US_national_yearly!$D:$AM, 10, FALSE), 1)</f>
        <v>0.6058212363379083</v>
      </c>
      <c r="G15" s="7">
        <f>$B15 * IFERROR(VLOOKUP("buildings|PM25|Work loss days", US_national_yearly!$D:$AM, 15, FALSE) / VLOOKUP("buildings|PM25|Work loss days", US_national_yearly!$D:$AM, 10, FALSE), 1)</f>
        <v>0.60827546450530423</v>
      </c>
      <c r="H15" s="7">
        <f>$B15 * IFERROR(VLOOKUP("buildings|PM25|Work loss days", US_national_yearly!$D:$AM, 16, FALSE) / VLOOKUP("buildings|PM25|Work loss days", US_national_yearly!$D:$AM, 10, FALSE), 1)</f>
        <v>0.61072969267270028</v>
      </c>
      <c r="I15" s="7">
        <f>$B15 * IFERROR(VLOOKUP("buildings|PM25|Work loss days", US_national_yearly!$D:$AM, 17, FALSE) / VLOOKUP("buildings|PM25|Work loss days", US_national_yearly!$D:$AM, 10, FALSE), 1)</f>
        <v>0.61433413488751654</v>
      </c>
      <c r="J15" s="7">
        <f>$B15 * IFERROR(VLOOKUP("buildings|PM25|Work loss days", US_national_yearly!$D:$AM, 18, FALSE) / VLOOKUP("buildings|PM25|Work loss days", US_national_yearly!$D:$AM, 10, FALSE), 1)</f>
        <v>0.61793857710233291</v>
      </c>
      <c r="K15" s="7">
        <f>$B15 * IFERROR(VLOOKUP("buildings|PM25|Work loss days", US_national_yearly!$D:$AM, 19, FALSE) / VLOOKUP("buildings|PM25|Work loss days", US_national_yearly!$D:$AM, 10, FALSE), 1)</f>
        <v>0.62154301931714928</v>
      </c>
      <c r="L15" s="7">
        <f>$B15 * IFERROR(VLOOKUP("buildings|PM25|Work loss days", US_national_yearly!$D:$AM, 20, FALSE) / VLOOKUP("buildings|PM25|Work loss days", US_national_yearly!$D:$AM, 10, FALSE), 1)</f>
        <v>0.62514746153196565</v>
      </c>
      <c r="M15" s="7">
        <f>$B15 * IFERROR(VLOOKUP("buildings|PM25|Work loss days", US_national_yearly!$D:$AM, 21, FALSE) / VLOOKUP("buildings|PM25|Work loss days", US_national_yearly!$D:$AM, 10, FALSE), 1)</f>
        <v>0.62875190374678203</v>
      </c>
      <c r="N15" s="7">
        <f>$B15 * IFERROR(VLOOKUP("buildings|PM25|Work loss days", US_national_yearly!$D:$AM, 22, FALSE) / VLOOKUP("buildings|PM25|Work loss days", US_national_yearly!$D:$AM, 10, FALSE), 1)</f>
        <v>0.63328364433226558</v>
      </c>
      <c r="O15" s="7">
        <f>$B15 * IFERROR(VLOOKUP("buildings|PM25|Work loss days", US_national_yearly!$D:$AM, 23, FALSE) / VLOOKUP("buildings|PM25|Work loss days", US_national_yearly!$D:$AM, 10, FALSE), 1)</f>
        <v>0.63781538491774925</v>
      </c>
      <c r="P15" s="7">
        <f>$B15 * IFERROR(VLOOKUP("buildings|PM25|Work loss days", US_national_yearly!$D:$AM, 24, FALSE) / VLOOKUP("buildings|PM25|Work loss days", US_national_yearly!$D:$AM, 10, FALSE), 1)</f>
        <v>0.64234712550323281</v>
      </c>
      <c r="Q15" s="7">
        <f>$B15 * IFERROR(VLOOKUP("buildings|PM25|Work loss days", US_national_yearly!$D:$AM, 25, FALSE) / VLOOKUP("buildings|PM25|Work loss days", US_national_yearly!$D:$AM, 10, FALSE), 1)</f>
        <v>0.64687886608871636</v>
      </c>
      <c r="R15" s="7">
        <f>$B15 * IFERROR(VLOOKUP("buildings|PM25|Work loss days", US_national_yearly!$D:$AM, 26, FALSE) / VLOOKUP("buildings|PM25|Work loss days", US_national_yearly!$D:$AM, 10, FALSE), 1)</f>
        <v>0.65141060667420003</v>
      </c>
      <c r="S15" s="7">
        <f>$B15 * IFERROR(VLOOKUP("buildings|PM25|Work loss days", US_national_yearly!$D:$AM, 27, FALSE) / VLOOKUP("buildings|PM25|Work loss days", US_national_yearly!$D:$AM, 10, FALSE), 1)</f>
        <v>0.6564164773710407</v>
      </c>
      <c r="T15" s="7">
        <f>$B15 * IFERROR(VLOOKUP("buildings|PM25|Work loss days", US_national_yearly!$D:$AM, 28, FALSE) / VLOOKUP("buildings|PM25|Work loss days", US_national_yearly!$D:$AM, 10, FALSE), 1)</f>
        <v>0.66142234806788158</v>
      </c>
      <c r="U15" s="7">
        <f>$B15 * IFERROR(VLOOKUP("buildings|PM25|Work loss days", US_national_yearly!$D:$AM, 29, FALSE) / VLOOKUP("buildings|PM25|Work loss days", US_national_yearly!$D:$AM, 10, FALSE), 1)</f>
        <v>0.66642821876472247</v>
      </c>
      <c r="V15" s="7">
        <f>$B15 * IFERROR(VLOOKUP("buildings|PM25|Work loss days", US_national_yearly!$D:$AM, 30, FALSE) / VLOOKUP("buildings|PM25|Work loss days", US_national_yearly!$D:$AM, 10, FALSE), 1)</f>
        <v>0.67143408946156313</v>
      </c>
      <c r="W15" s="7">
        <f>$B15 * IFERROR(VLOOKUP("buildings|PM25|Work loss days", US_national_yearly!$D:$AM, 31, FALSE) / VLOOKUP("buildings|PM25|Work loss days", US_national_yearly!$D:$AM, 10, FALSE), 1)</f>
        <v>0.67643996015840402</v>
      </c>
      <c r="X15" s="7">
        <f>$B15 * IFERROR(VLOOKUP("buildings|PM25|Work loss days", US_national_yearly!$D:$AM, 32, FALSE) / VLOOKUP("buildings|PM25|Work loss days", US_national_yearly!$D:$AM, 10, FALSE), 1)</f>
        <v>0.68088219329526489</v>
      </c>
      <c r="Y15" s="7">
        <f>$B15 * IFERROR(VLOOKUP("buildings|PM25|Work loss days", US_national_yearly!$D:$AM, 33, FALSE) / VLOOKUP("buildings|PM25|Work loss days", US_national_yearly!$D:$AM, 10, FALSE), 1)</f>
        <v>0.68532442643212588</v>
      </c>
      <c r="Z15" s="7">
        <f>$B15 * IFERROR(VLOOKUP("buildings|PM25|Work loss days", US_national_yearly!$D:$AM, 34, FALSE) / VLOOKUP("buildings|PM25|Work loss days", US_national_yearly!$D:$AM, 10, FALSE), 1)</f>
        <v>0.68976665956898675</v>
      </c>
      <c r="AA15" s="7">
        <f>$B15 * IFERROR(VLOOKUP("buildings|PM25|Work loss days", US_national_yearly!$D:$AM, 35, FALSE) / VLOOKUP("buildings|PM25|Work loss days", US_national_yearly!$D:$AM, 10, FALSE), 1)</f>
        <v>0.69420889270584774</v>
      </c>
      <c r="AB15" s="7">
        <f>$B15 * IFERROR(VLOOKUP("buildings|PM25|Work loss days", US_national_yearly!$D:$AM, 36, FALSE) / VLOOKUP("buildings|PM25|Work loss days", US_national_yearly!$D:$AM, 10, FALSE), 1)</f>
        <v>0.69865112584270861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1.0215877264832115E-3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1.0521192514658865E-3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1.0826507764485616E-3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1.1131823014312364E-3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1.1437138264139115E-3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1.1729676489428121E-3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1.2022214714717124E-3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1.2272654351453286E-3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1.2523093988189447E-3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1.2773533624925611E-3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1.3023973261661775E-3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1.3274412898397938E-3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1.3441644166057479E-3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1.3608875433717021E-3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1.3776106701376559E-3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1.3943337969036101E-3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1.4110569236695642E-3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1.4199430320069094E-3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1.4288291403442542E-3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1.4377152486815994E-3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1.4466013570189442E-3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1.4554874653562896E-3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1.4614958652277004E-3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1.467504265099111E-3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1.4735126649705217E-3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1.4795210648419321E-3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1.4855294647133429E-3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6.1854967693479189E-4</v>
      </c>
      <c r="C2" s="7">
        <f>$B2 * IFERROR(VLOOKUP("buildings|NOx|Premature mortality", US_national_yearly!$D:$AM, 11, FALSE) / VLOOKUP("buildings|NOx|Premature mortality", US_national_yearly!$D:$AM, 10, FALSE), 1)</f>
        <v>6.2764772863260906E-4</v>
      </c>
      <c r="D2" s="7">
        <f>$B2 * IFERROR(VLOOKUP("buildings|NOx|Premature mortality", US_national_yearly!$D:$AM, 12, FALSE) / VLOOKUP("buildings|NOx|Premature mortality", US_national_yearly!$D:$AM, 10, FALSE), 1)</f>
        <v>6.3674578033042612E-4</v>
      </c>
      <c r="E2" s="7">
        <f>$B2 * IFERROR(VLOOKUP("buildings|NOx|Premature mortality", US_national_yearly!$D:$AM, 13, FALSE) / VLOOKUP("buildings|NOx|Premature mortality", US_national_yearly!$D:$AM, 10, FALSE), 1)</f>
        <v>6.4584383202824329E-4</v>
      </c>
      <c r="F2" s="7">
        <f>$B2 * IFERROR(VLOOKUP("buildings|NOx|Premature mortality", US_national_yearly!$D:$AM, 14, FALSE) / VLOOKUP("buildings|NOx|Premature mortality", US_national_yearly!$D:$AM, 10, FALSE), 1)</f>
        <v>6.5494188372606035E-4</v>
      </c>
      <c r="G2" s="7">
        <f>$B2 * IFERROR(VLOOKUP("buildings|NOx|Premature mortality", US_national_yearly!$D:$AM, 15, FALSE) / VLOOKUP("buildings|NOx|Premature mortality", US_national_yearly!$D:$AM, 10, FALSE), 1)</f>
        <v>6.7127618338750836E-4</v>
      </c>
      <c r="H2" s="7">
        <f>$B2 * IFERROR(VLOOKUP("buildings|NOx|Premature mortality", US_national_yearly!$D:$AM, 16, FALSE) / VLOOKUP("buildings|NOx|Premature mortality", US_national_yearly!$D:$AM, 10, FALSE), 1)</f>
        <v>6.8761048304895648E-4</v>
      </c>
      <c r="I2" s="7">
        <f>$B2 * IFERROR(VLOOKUP("buildings|NOx|Premature mortality", US_national_yearly!$D:$AM, 17, FALSE) / VLOOKUP("buildings|NOx|Premature mortality", US_national_yearly!$D:$AM, 10, FALSE), 1)</f>
        <v>6.9816658738396748E-4</v>
      </c>
      <c r="J2" s="7">
        <f>$B2 * IFERROR(VLOOKUP("buildings|NOx|Premature mortality", US_national_yearly!$D:$AM, 18, FALSE) / VLOOKUP("buildings|NOx|Premature mortality", US_national_yearly!$D:$AM, 10, FALSE), 1)</f>
        <v>7.0872269171897827E-4</v>
      </c>
      <c r="K2" s="7">
        <f>$B2 * IFERROR(VLOOKUP("buildings|NOx|Premature mortality", US_national_yearly!$D:$AM, 19, FALSE) / VLOOKUP("buildings|NOx|Premature mortality", US_national_yearly!$D:$AM, 10, FALSE), 1)</f>
        <v>7.1927879605398928E-4</v>
      </c>
      <c r="L2" s="7">
        <f>$B2 * IFERROR(VLOOKUP("buildings|NOx|Premature mortality", US_national_yearly!$D:$AM, 20, FALSE) / VLOOKUP("buildings|NOx|Premature mortality", US_national_yearly!$D:$AM, 10, FALSE), 1)</f>
        <v>7.2983490038900018E-4</v>
      </c>
      <c r="M2" s="7">
        <f>$B2 * IFERROR(VLOOKUP("buildings|NOx|Premature mortality", US_national_yearly!$D:$AM, 21, FALSE) / VLOOKUP("buildings|NOx|Premature mortality", US_national_yearly!$D:$AM, 10, FALSE), 1)</f>
        <v>7.4039100472401119E-4</v>
      </c>
      <c r="N2" s="7">
        <f>$B2 * IFERROR(VLOOKUP("buildings|NOx|Premature mortality", US_national_yearly!$D:$AM, 22, FALSE) / VLOOKUP("buildings|NOx|Premature mortality", US_national_yearly!$D:$AM, 10, FALSE), 1)</f>
        <v>7.4821267507712099E-4</v>
      </c>
      <c r="O2" s="7">
        <f>$B2 * IFERROR(VLOOKUP("buildings|NOx|Premature mortality", US_national_yearly!$D:$AM, 23, FALSE) / VLOOKUP("buildings|NOx|Premature mortality", US_national_yearly!$D:$AM, 10, FALSE), 1)</f>
        <v>7.5603434543023091E-4</v>
      </c>
      <c r="P2" s="7">
        <f>$B2 * IFERROR(VLOOKUP("buildings|NOx|Premature mortality", US_national_yearly!$D:$AM, 24, FALSE) / VLOOKUP("buildings|NOx|Premature mortality", US_national_yearly!$D:$AM, 10, FALSE), 1)</f>
        <v>7.6385601578334082E-4</v>
      </c>
      <c r="Q2" s="7">
        <f>$B2 * IFERROR(VLOOKUP("buildings|NOx|Premature mortality", US_national_yearly!$D:$AM, 25, FALSE) / VLOOKUP("buildings|NOx|Premature mortality", US_national_yearly!$D:$AM, 10, FALSE), 1)</f>
        <v>7.7167768613645063E-4</v>
      </c>
      <c r="R2" s="7">
        <f>$B2 * IFERROR(VLOOKUP("buildings|NOx|Premature mortality", US_national_yearly!$D:$AM, 26, FALSE) / VLOOKUP("buildings|NOx|Premature mortality", US_national_yearly!$D:$AM, 10, FALSE), 1)</f>
        <v>7.7949935648956054E-4</v>
      </c>
      <c r="S2" s="7">
        <f>$B2 * IFERROR(VLOOKUP("buildings|NOx|Premature mortality", US_national_yearly!$D:$AM, 27, FALSE) / VLOOKUP("buildings|NOx|Premature mortality", US_national_yearly!$D:$AM, 10, FALSE), 1)</f>
        <v>7.830553962067966E-4</v>
      </c>
      <c r="T2" s="7">
        <f>$B2 * IFERROR(VLOOKUP("buildings|NOx|Premature mortality", US_national_yearly!$D:$AM, 28, FALSE) / VLOOKUP("buildings|NOx|Premature mortality", US_national_yearly!$D:$AM, 10, FALSE), 1)</f>
        <v>7.8661143592403243E-4</v>
      </c>
      <c r="U2" s="7">
        <f>$B2 * IFERROR(VLOOKUP("buildings|NOx|Premature mortality", US_national_yearly!$D:$AM, 29, FALSE) / VLOOKUP("buildings|NOx|Premature mortality", US_national_yearly!$D:$AM, 10, FALSE), 1)</f>
        <v>7.9016747564126849E-4</v>
      </c>
      <c r="V2" s="7">
        <f>$B2 * IFERROR(VLOOKUP("buildings|NOx|Premature mortality", US_national_yearly!$D:$AM, 30, FALSE) / VLOOKUP("buildings|NOx|Premature mortality", US_national_yearly!$D:$AM, 10, FALSE), 1)</f>
        <v>7.9372351535850444E-4</v>
      </c>
      <c r="W2" s="7">
        <f>$B2 * IFERROR(VLOOKUP("buildings|NOx|Premature mortality", US_national_yearly!$D:$AM, 31, FALSE) / VLOOKUP("buildings|NOx|Premature mortality", US_national_yearly!$D:$AM, 10, FALSE), 1)</f>
        <v>7.9727955507574028E-4</v>
      </c>
      <c r="X2" s="7">
        <f>$B2 * IFERROR(VLOOKUP("buildings|NOx|Premature mortality", US_national_yearly!$D:$AM, 32, FALSE) / VLOOKUP("buildings|NOx|Premature mortality", US_national_yearly!$D:$AM, 10, FALSE), 1)</f>
        <v>7.9740479589580947E-4</v>
      </c>
      <c r="Y2" s="7">
        <f>$B2 * IFERROR(VLOOKUP("buildings|NOx|Premature mortality", US_national_yearly!$D:$AM, 33, FALSE) / VLOOKUP("buildings|NOx|Premature mortality", US_national_yearly!$D:$AM, 10, FALSE), 1)</f>
        <v>7.9753003671587867E-4</v>
      </c>
      <c r="Z2" s="7">
        <f>$B2 * IFERROR(VLOOKUP("buildings|NOx|Premature mortality", US_national_yearly!$D:$AM, 34, FALSE) / VLOOKUP("buildings|NOx|Premature mortality", US_national_yearly!$D:$AM, 10, FALSE), 1)</f>
        <v>7.9765527753594776E-4</v>
      </c>
      <c r="AA2" s="7">
        <f>$B2 * IFERROR(VLOOKUP("buildings|NOx|Premature mortality", US_national_yearly!$D:$AM, 35, FALSE) / VLOOKUP("buildings|NOx|Premature mortality", US_national_yearly!$D:$AM, 10, FALSE), 1)</f>
        <v>7.9778051835601685E-4</v>
      </c>
      <c r="AB2" s="7">
        <f>$B2 * IFERROR(VLOOKUP("buildings|NOx|Premature mortality", US_national_yearly!$D:$AM, 36, FALSE) / VLOOKUP("buildings|NOx|Premature mortality", US_national_yearly!$D:$AM, 10, FALSE), 1)</f>
        <v>7.9790575917608616E-4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1.7331855235239327E-6</v>
      </c>
      <c r="C3" s="7">
        <f>$B3 * IFERROR(VLOOKUP("buildings|NOx|Infant mortality", US_national_yearly!$D:$AM, 11, FALSE) / VLOOKUP("buildings|NOx|Infant mortality", US_national_yearly!$D:$AM, 10, FALSE), 1)</f>
        <v>1.7167222951803557E-6</v>
      </c>
      <c r="D3" s="7">
        <f>$B3 * IFERROR(VLOOKUP("buildings|NOx|Infant mortality", US_national_yearly!$D:$AM, 12, FALSE) / VLOOKUP("buildings|NOx|Infant mortality", US_national_yearly!$D:$AM, 10, FALSE), 1)</f>
        <v>1.7002590668367781E-6</v>
      </c>
      <c r="E3" s="7">
        <f>$B3 * IFERROR(VLOOKUP("buildings|NOx|Infant mortality", US_national_yearly!$D:$AM, 13, FALSE) / VLOOKUP("buildings|NOx|Infant mortality", US_national_yearly!$D:$AM, 10, FALSE), 1)</f>
        <v>1.683795838493201E-6</v>
      </c>
      <c r="F3" s="7">
        <f>$B3 * IFERROR(VLOOKUP("buildings|NOx|Infant mortality", US_national_yearly!$D:$AM, 14, FALSE) / VLOOKUP("buildings|NOx|Infant mortality", US_national_yearly!$D:$AM, 10, FALSE), 1)</f>
        <v>1.6673326101496235E-6</v>
      </c>
      <c r="G3" s="7">
        <f>$B3 * IFERROR(VLOOKUP("buildings|NOx|Infant mortality", US_national_yearly!$D:$AM, 15, FALSE) / VLOOKUP("buildings|NOx|Infant mortality", US_national_yearly!$D:$AM, 10, FALSE), 1)</f>
        <v>1.106671090109099E-6</v>
      </c>
      <c r="H3" s="7">
        <f>$B3 * IFERROR(VLOOKUP("buildings|NOx|Infant mortality", US_national_yearly!$D:$AM, 16, FALSE) / VLOOKUP("buildings|NOx|Infant mortality", US_national_yearly!$D:$AM, 10, FALSE), 1)</f>
        <v>5.4600957006857455E-7</v>
      </c>
      <c r="I3" s="7">
        <f>$B3 * IFERROR(VLOOKUP("buildings|NOx|Infant mortality", US_national_yearly!$D:$AM, 17, FALSE) / VLOOKUP("buildings|NOx|Infant mortality", US_national_yearly!$D:$AM, 10, FALSE), 1)</f>
        <v>5.4215225358669154E-7</v>
      </c>
      <c r="J3" s="7">
        <f>$B3 * IFERROR(VLOOKUP("buildings|NOx|Infant mortality", US_national_yearly!$D:$AM, 18, FALSE) / VLOOKUP("buildings|NOx|Infant mortality", US_national_yearly!$D:$AM, 10, FALSE), 1)</f>
        <v>5.3829493710480842E-7</v>
      </c>
      <c r="K3" s="7">
        <f>$B3 * IFERROR(VLOOKUP("buildings|NOx|Infant mortality", US_national_yearly!$D:$AM, 19, FALSE) / VLOOKUP("buildings|NOx|Infant mortality", US_national_yearly!$D:$AM, 10, FALSE), 1)</f>
        <v>5.344376206229254E-7</v>
      </c>
      <c r="L3" s="7">
        <f>$B3 * IFERROR(VLOOKUP("buildings|NOx|Infant mortality", US_national_yearly!$D:$AM, 20, FALSE) / VLOOKUP("buildings|NOx|Infant mortality", US_national_yearly!$D:$AM, 10, FALSE), 1)</f>
        <v>5.3058030414104239E-7</v>
      </c>
      <c r="M3" s="7">
        <f>$B3 * IFERROR(VLOOKUP("buildings|NOx|Infant mortality", US_national_yearly!$D:$AM, 21, FALSE) / VLOOKUP("buildings|NOx|Infant mortality", US_national_yearly!$D:$AM, 10, FALSE), 1)</f>
        <v>5.2672298765915927E-7</v>
      </c>
      <c r="N3" s="7">
        <f>$B3 * IFERROR(VLOOKUP("buildings|NOx|Infant mortality", US_national_yearly!$D:$AM, 22, FALSE) / VLOOKUP("buildings|NOx|Infant mortality", US_national_yearly!$D:$AM, 10, FALSE), 1)</f>
        <v>5.2416695999748315E-7</v>
      </c>
      <c r="O3" s="7">
        <f>$B3 * IFERROR(VLOOKUP("buildings|NOx|Infant mortality", US_national_yearly!$D:$AM, 23, FALSE) / VLOOKUP("buildings|NOx|Infant mortality", US_national_yearly!$D:$AM, 10, FALSE), 1)</f>
        <v>5.2161093233580692E-7</v>
      </c>
      <c r="P3" s="7">
        <f>$B3 * IFERROR(VLOOKUP("buildings|NOx|Infant mortality", US_national_yearly!$D:$AM, 24, FALSE) / VLOOKUP("buildings|NOx|Infant mortality", US_national_yearly!$D:$AM, 10, FALSE), 1)</f>
        <v>5.1905490467413069E-7</v>
      </c>
      <c r="Q3" s="7">
        <f>$B3 * IFERROR(VLOOKUP("buildings|NOx|Infant mortality", US_national_yearly!$D:$AM, 25, FALSE) / VLOOKUP("buildings|NOx|Infant mortality", US_national_yearly!$D:$AM, 10, FALSE), 1)</f>
        <v>5.1649887701245456E-7</v>
      </c>
      <c r="R3" s="7">
        <f>$B3 * IFERROR(VLOOKUP("buildings|NOx|Infant mortality", US_national_yearly!$D:$AM, 26, FALSE) / VLOOKUP("buildings|NOx|Infant mortality", US_national_yearly!$D:$AM, 10, FALSE), 1)</f>
        <v>5.1394284935077833E-7</v>
      </c>
      <c r="S3" s="7">
        <f>$B3 * IFERROR(VLOOKUP("buildings|NOx|Infant mortality", US_national_yearly!$D:$AM, 27, FALSE) / VLOOKUP("buildings|NOx|Infant mortality", US_national_yearly!$D:$AM, 10, FALSE), 1)</f>
        <v>5.1086811132172037E-7</v>
      </c>
      <c r="T3" s="7">
        <f>$B3 * IFERROR(VLOOKUP("buildings|NOx|Infant mortality", US_national_yearly!$D:$AM, 28, FALSE) / VLOOKUP("buildings|NOx|Infant mortality", US_national_yearly!$D:$AM, 10, FALSE), 1)</f>
        <v>5.0779337329266251E-7</v>
      </c>
      <c r="U3" s="7">
        <f>$B3 * IFERROR(VLOOKUP("buildings|NOx|Infant mortality", US_national_yearly!$D:$AM, 29, FALSE) / VLOOKUP("buildings|NOx|Infant mortality", US_national_yearly!$D:$AM, 10, FALSE), 1)</f>
        <v>5.0471863526360444E-7</v>
      </c>
      <c r="V3" s="7">
        <f>$B3 * IFERROR(VLOOKUP("buildings|NOx|Infant mortality", US_national_yearly!$D:$AM, 30, FALSE) / VLOOKUP("buildings|NOx|Infant mortality", US_national_yearly!$D:$AM, 10, FALSE), 1)</f>
        <v>5.0164389723454648E-7</v>
      </c>
      <c r="W3" s="7">
        <f>$B3 * IFERROR(VLOOKUP("buildings|NOx|Infant mortality", US_national_yearly!$D:$AM, 31, FALSE) / VLOOKUP("buildings|NOx|Infant mortality", US_national_yearly!$D:$AM, 10, FALSE), 1)</f>
        <v>4.9856915920548862E-7</v>
      </c>
      <c r="X3" s="7">
        <f>$B3 * IFERROR(VLOOKUP("buildings|NOx|Infant mortality", US_national_yearly!$D:$AM, 32, FALSE) / VLOOKUP("buildings|NOx|Infant mortality", US_national_yearly!$D:$AM, 10, FALSE), 1)</f>
        <v>4.9531581688800799E-7</v>
      </c>
      <c r="Y3" s="7">
        <f>$B3 * IFERROR(VLOOKUP("buildings|NOx|Infant mortality", US_national_yearly!$D:$AM, 33, FALSE) / VLOOKUP("buildings|NOx|Infant mortality", US_national_yearly!$D:$AM, 10, FALSE), 1)</f>
        <v>4.9206247457052735E-7</v>
      </c>
      <c r="Z3" s="7">
        <f>$B3 * IFERROR(VLOOKUP("buildings|NOx|Infant mortality", US_national_yearly!$D:$AM, 34, FALSE) / VLOOKUP("buildings|NOx|Infant mortality", US_national_yearly!$D:$AM, 10, FALSE), 1)</f>
        <v>4.8880913225304672E-7</v>
      </c>
      <c r="AA3" s="7">
        <f>$B3 * IFERROR(VLOOKUP("buildings|NOx|Infant mortality", US_national_yearly!$D:$AM, 35, FALSE) / VLOOKUP("buildings|NOx|Infant mortality", US_national_yearly!$D:$AM, 10, FALSE), 1)</f>
        <v>4.8555578993556609E-7</v>
      </c>
      <c r="AB3" s="7">
        <f>$B3 * IFERROR(VLOOKUP("buildings|NOx|Infant mortality", US_national_yearly!$D:$AM, 36, FALSE) / VLOOKUP("buildings|NOx|Infant mortality", US_national_yearly!$D:$AM, 10, FALSE), 1)</f>
        <v>4.8230244761808545E-7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1.9238265447877334E-3</v>
      </c>
      <c r="C6" s="7">
        <f>$B6 * IFERROR(VLOOKUP("buildings|NOx|Asthma symptoms cough", US_national_yearly!$D:$AM, 11, FALSE) / VLOOKUP("buildings|NOx|Asthma symptoms cough", US_national_yearly!$D:$AM, 10, FALSE), 1)</f>
        <v>1.9501546350679335E-3</v>
      </c>
      <c r="D6" s="7">
        <f>$B6 * IFERROR(VLOOKUP("buildings|NOx|Asthma symptoms cough", US_national_yearly!$D:$AM, 12, FALSE) / VLOOKUP("buildings|NOx|Asthma symptoms cough", US_national_yearly!$D:$AM, 10, FALSE), 1)</f>
        <v>1.9764827253481343E-3</v>
      </c>
      <c r="E6" s="7">
        <f>$B6 * IFERROR(VLOOKUP("buildings|NOx|Asthma symptoms cough", US_national_yearly!$D:$AM, 13, FALSE) / VLOOKUP("buildings|NOx|Asthma symptoms cough", US_national_yearly!$D:$AM, 10, FALSE), 1)</f>
        <v>2.0028108156283342E-3</v>
      </c>
      <c r="F6" s="7">
        <f>$B6 * IFERROR(VLOOKUP("buildings|NOx|Asthma symptoms cough", US_national_yearly!$D:$AM, 14, FALSE) / VLOOKUP("buildings|NOx|Asthma symptoms cough", US_national_yearly!$D:$AM, 10, FALSE), 1)</f>
        <v>2.0291389059085346E-3</v>
      </c>
      <c r="G6" s="7">
        <f>$B6 * IFERROR(VLOOKUP("buildings|NOx|Asthma symptoms cough", US_national_yearly!$D:$AM, 15, FALSE) / VLOOKUP("buildings|NOx|Asthma symptoms cough", US_national_yearly!$D:$AM, 10, FALSE), 1)</f>
        <v>2.0501799833898271E-3</v>
      </c>
      <c r="H6" s="7">
        <f>$B6 * IFERROR(VLOOKUP("buildings|NOx|Asthma symptoms cough", US_national_yearly!$D:$AM, 16, FALSE) / VLOOKUP("buildings|NOx|Asthma symptoms cough", US_national_yearly!$D:$AM, 10, FALSE), 1)</f>
        <v>2.07122106087112E-3</v>
      </c>
      <c r="I6" s="7">
        <f>$B6 * IFERROR(VLOOKUP("buildings|NOx|Asthma symptoms cough", US_national_yearly!$D:$AM, 17, FALSE) / VLOOKUP("buildings|NOx|Asthma symptoms cough", US_national_yearly!$D:$AM, 10, FALSE), 1)</f>
        <v>2.0785027563421927E-3</v>
      </c>
      <c r="J6" s="7">
        <f>$B6 * IFERROR(VLOOKUP("buildings|NOx|Asthma symptoms cough", US_national_yearly!$D:$AM, 18, FALSE) / VLOOKUP("buildings|NOx|Asthma symptoms cough", US_national_yearly!$D:$AM, 10, FALSE), 1)</f>
        <v>2.0857844518132659E-3</v>
      </c>
      <c r="K6" s="7">
        <f>$B6 * IFERROR(VLOOKUP("buildings|NOx|Asthma symptoms cough", US_national_yearly!$D:$AM, 19, FALSE) / VLOOKUP("buildings|NOx|Asthma symptoms cough", US_national_yearly!$D:$AM, 10, FALSE), 1)</f>
        <v>2.0930661472843381E-3</v>
      </c>
      <c r="L6" s="7">
        <f>$B6 * IFERROR(VLOOKUP("buildings|NOx|Asthma symptoms cough", US_national_yearly!$D:$AM, 20, FALSE) / VLOOKUP("buildings|NOx|Asthma symptoms cough", US_national_yearly!$D:$AM, 10, FALSE), 1)</f>
        <v>2.1003478427554108E-3</v>
      </c>
      <c r="M6" s="7">
        <f>$B6 * IFERROR(VLOOKUP("buildings|NOx|Asthma symptoms cough", US_national_yearly!$D:$AM, 21, FALSE) / VLOOKUP("buildings|NOx|Asthma symptoms cough", US_national_yearly!$D:$AM, 10, FALSE), 1)</f>
        <v>2.1076295382264835E-3</v>
      </c>
      <c r="N6" s="7">
        <f>$B6 * IFERROR(VLOOKUP("buildings|NOx|Asthma symptoms cough", US_national_yearly!$D:$AM, 22, FALSE) / VLOOKUP("buildings|NOx|Asthma symptoms cough", US_national_yearly!$D:$AM, 10, FALSE), 1)</f>
        <v>2.1160494523269971E-3</v>
      </c>
      <c r="O6" s="7">
        <f>$B6 * IFERROR(VLOOKUP("buildings|NOx|Asthma symptoms cough", US_national_yearly!$D:$AM, 23, FALSE) / VLOOKUP("buildings|NOx|Asthma symptoms cough", US_national_yearly!$D:$AM, 10, FALSE), 1)</f>
        <v>2.1244693664275102E-3</v>
      </c>
      <c r="P6" s="7">
        <f>$B6 * IFERROR(VLOOKUP("buildings|NOx|Asthma symptoms cough", US_national_yearly!$D:$AM, 24, FALSE) / VLOOKUP("buildings|NOx|Asthma symptoms cough", US_national_yearly!$D:$AM, 10, FALSE), 1)</f>
        <v>2.1328892805280233E-3</v>
      </c>
      <c r="Q6" s="7">
        <f>$B6 * IFERROR(VLOOKUP("buildings|NOx|Asthma symptoms cough", US_national_yearly!$D:$AM, 25, FALSE) / VLOOKUP("buildings|NOx|Asthma symptoms cough", US_national_yearly!$D:$AM, 10, FALSE), 1)</f>
        <v>2.1413091946285369E-3</v>
      </c>
      <c r="R6" s="7">
        <f>$B6 * IFERROR(VLOOKUP("buildings|NOx|Asthma symptoms cough", US_national_yearly!$D:$AM, 26, FALSE) / VLOOKUP("buildings|NOx|Asthma symptoms cough", US_national_yearly!$D:$AM, 10, FALSE), 1)</f>
        <v>2.14972910872905E-3</v>
      </c>
      <c r="S6" s="7">
        <f>$B6 * IFERROR(VLOOKUP("buildings|NOx|Asthma symptoms cough", US_national_yearly!$D:$AM, 27, FALSE) / VLOOKUP("buildings|NOx|Asthma symptoms cough", US_national_yearly!$D:$AM, 10, FALSE), 1)</f>
        <v>2.1607256949853441E-3</v>
      </c>
      <c r="T6" s="7">
        <f>$B6 * IFERROR(VLOOKUP("buildings|NOx|Asthma symptoms cough", US_national_yearly!$D:$AM, 28, FALSE) / VLOOKUP("buildings|NOx|Asthma symptoms cough", US_national_yearly!$D:$AM, 10, FALSE), 1)</f>
        <v>2.1717222812416377E-3</v>
      </c>
      <c r="U6" s="7">
        <f>$B6 * IFERROR(VLOOKUP("buildings|NOx|Asthma symptoms cough", US_national_yearly!$D:$AM, 29, FALSE) / VLOOKUP("buildings|NOx|Asthma symptoms cough", US_national_yearly!$D:$AM, 10, FALSE), 1)</f>
        <v>2.1827188674979313E-3</v>
      </c>
      <c r="V6" s="7">
        <f>$B6 * IFERROR(VLOOKUP("buildings|NOx|Asthma symptoms cough", US_national_yearly!$D:$AM, 30, FALSE) / VLOOKUP("buildings|NOx|Asthma symptoms cough", US_national_yearly!$D:$AM, 10, FALSE), 1)</f>
        <v>2.1937154537542258E-3</v>
      </c>
      <c r="W6" s="7">
        <f>$B6 * IFERROR(VLOOKUP("buildings|NOx|Asthma symptoms cough", US_national_yearly!$D:$AM, 31, FALSE) / VLOOKUP("buildings|NOx|Asthma symptoms cough", US_national_yearly!$D:$AM, 10, FALSE), 1)</f>
        <v>2.2047120400105194E-3</v>
      </c>
      <c r="X6" s="7">
        <f>$B6 * IFERROR(VLOOKUP("buildings|NOx|Asthma symptoms cough", US_national_yearly!$D:$AM, 32, FALSE) / VLOOKUP("buildings|NOx|Asthma symptoms cough", US_national_yearly!$D:$AM, 10, FALSE), 1)</f>
        <v>2.2149293818021828E-3</v>
      </c>
      <c r="Y6" s="7">
        <f>$B6 * IFERROR(VLOOKUP("buildings|NOx|Asthma symptoms cough", US_national_yearly!$D:$AM, 33, FALSE) / VLOOKUP("buildings|NOx|Asthma symptoms cough", US_national_yearly!$D:$AM, 10, FALSE), 1)</f>
        <v>2.2251467235938466E-3</v>
      </c>
      <c r="Z6" s="7">
        <f>$B6 * IFERROR(VLOOKUP("buildings|NOx|Asthma symptoms cough", US_national_yearly!$D:$AM, 34, FALSE) / VLOOKUP("buildings|NOx|Asthma symptoms cough", US_national_yearly!$D:$AM, 10, FALSE), 1)</f>
        <v>2.2353640653855105E-3</v>
      </c>
      <c r="AA6" s="7">
        <f>$B6 * IFERROR(VLOOKUP("buildings|NOx|Asthma symptoms cough", US_national_yearly!$D:$AM, 35, FALSE) / VLOOKUP("buildings|NOx|Asthma symptoms cough", US_national_yearly!$D:$AM, 10, FALSE), 1)</f>
        <v>2.2455814071771743E-3</v>
      </c>
      <c r="AB6" s="7">
        <f>$B6 * IFERROR(VLOOKUP("buildings|NOx|Asthma symptoms cough", US_national_yearly!$D:$AM, 36, FALSE) / VLOOKUP("buildings|NOx|Asthma symptoms cough", US_national_yearly!$D:$AM, 10, FALSE), 1)</f>
        <v>2.2557987489688382E-3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2.5907050035419424E-3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2.6261595071053767E-3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2.661614010668811E-3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2.6970685142322453E-3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2.7325230177956796E-3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2.7608578095384599E-3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2.7891926012812399E-3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2.7989984357427132E-3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2.8088042702041857E-3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2.8186101046656594E-3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2.8284159391271328E-3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2.8382217735886056E-3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2.8495603807121997E-3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2.8608989878357942E-3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2.8722375949593883E-3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2.8835762020829824E-3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2.8949148092065765E-3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2.9097232704812172E-3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2.9245317317558583E-3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2.9393401930304991E-3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2.9541486543051393E-3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2.9689571155797805E-3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2.9827162137790785E-3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2.9964753119783756E-3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3.0102344101776736E-3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3.0239935083769703E-3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3.0377526065762678E-3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3.9581817052390987E-3</v>
      </c>
      <c r="C8" s="7">
        <f>$B8 * IFERROR(VLOOKUP("buildings|NOx|Asthma symptoms wheeze", US_national_yearly!$D:$AM, 11, FALSE) / VLOOKUP("buildings|NOx|Asthma symptoms wheeze", US_national_yearly!$D:$AM, 10, FALSE), 1)</f>
        <v>4.0123505000322071E-3</v>
      </c>
      <c r="D8" s="7">
        <f>$B8 * IFERROR(VLOOKUP("buildings|NOx|Asthma symptoms wheeze", US_national_yearly!$D:$AM, 12, FALSE) / VLOOKUP("buildings|NOx|Asthma symptoms wheeze", US_national_yearly!$D:$AM, 10, FALSE), 1)</f>
        <v>4.0665192948253163E-3</v>
      </c>
      <c r="E8" s="7">
        <f>$B8 * IFERROR(VLOOKUP("buildings|NOx|Asthma symptoms wheeze", US_national_yearly!$D:$AM, 13, FALSE) / VLOOKUP("buildings|NOx|Asthma symptoms wheeze", US_national_yearly!$D:$AM, 10, FALSE), 1)</f>
        <v>4.1206880896184237E-3</v>
      </c>
      <c r="F8" s="7">
        <f>$B8 * IFERROR(VLOOKUP("buildings|NOx|Asthma symptoms wheeze", US_national_yearly!$D:$AM, 14, FALSE) / VLOOKUP("buildings|NOx|Asthma symptoms wheeze", US_national_yearly!$D:$AM, 10, FALSE), 1)</f>
        <v>4.174856884411533E-3</v>
      </c>
      <c r="G8" s="7">
        <f>$B8 * IFERROR(VLOOKUP("buildings|NOx|Asthma symptoms wheeze", US_national_yearly!$D:$AM, 15, FALSE) / VLOOKUP("buildings|NOx|Asthma symptoms wheeze", US_national_yearly!$D:$AM, 10, FALSE), 1)</f>
        <v>4.2181479015799767E-3</v>
      </c>
      <c r="H8" s="7">
        <f>$B8 * IFERROR(VLOOKUP("buildings|NOx|Asthma symptoms wheeze", US_national_yearly!$D:$AM, 16, FALSE) / VLOOKUP("buildings|NOx|Asthma symptoms wheeze", US_national_yearly!$D:$AM, 10, FALSE), 1)</f>
        <v>4.2614389187484196E-3</v>
      </c>
      <c r="I8" s="7">
        <f>$B8 * IFERROR(VLOOKUP("buildings|NOx|Asthma symptoms wheeze", US_national_yearly!$D:$AM, 17, FALSE) / VLOOKUP("buildings|NOx|Asthma symptoms wheeze", US_national_yearly!$D:$AM, 10, FALSE), 1)</f>
        <v>4.2764206611987507E-3</v>
      </c>
      <c r="J8" s="7">
        <f>$B8 * IFERROR(VLOOKUP("buildings|NOx|Asthma symptoms wheeze", US_national_yearly!$D:$AM, 18, FALSE) / VLOOKUP("buildings|NOx|Asthma symptoms wheeze", US_national_yearly!$D:$AM, 10, FALSE), 1)</f>
        <v>4.2914024036490818E-3</v>
      </c>
      <c r="K8" s="7">
        <f>$B8 * IFERROR(VLOOKUP("buildings|NOx|Asthma symptoms wheeze", US_national_yearly!$D:$AM, 19, FALSE) / VLOOKUP("buildings|NOx|Asthma symptoms wheeze", US_national_yearly!$D:$AM, 10, FALSE), 1)</f>
        <v>4.306384146099412E-3</v>
      </c>
      <c r="L8" s="7">
        <f>$B8 * IFERROR(VLOOKUP("buildings|NOx|Asthma symptoms wheeze", US_national_yearly!$D:$AM, 20, FALSE) / VLOOKUP("buildings|NOx|Asthma symptoms wheeze", US_national_yearly!$D:$AM, 10, FALSE), 1)</f>
        <v>4.3213658885497422E-3</v>
      </c>
      <c r="M8" s="7">
        <f>$B8 * IFERROR(VLOOKUP("buildings|NOx|Asthma symptoms wheeze", US_national_yearly!$D:$AM, 21, FALSE) / VLOOKUP("buildings|NOx|Asthma symptoms wheeze", US_national_yearly!$D:$AM, 10, FALSE), 1)</f>
        <v>4.3363476310000742E-3</v>
      </c>
      <c r="N8" s="7">
        <f>$B8 * IFERROR(VLOOKUP("buildings|NOx|Asthma symptoms wheeze", US_national_yearly!$D:$AM, 22, FALSE) / VLOOKUP("buildings|NOx|Asthma symptoms wheeze", US_national_yearly!$D:$AM, 10, FALSE), 1)</f>
        <v>4.3536712041999676E-3</v>
      </c>
      <c r="O8" s="7">
        <f>$B8 * IFERROR(VLOOKUP("buildings|NOx|Asthma symptoms wheeze", US_national_yearly!$D:$AM, 23, FALSE) / VLOOKUP("buildings|NOx|Asthma symptoms wheeze", US_national_yearly!$D:$AM, 10, FALSE), 1)</f>
        <v>4.3709947773998628E-3</v>
      </c>
      <c r="P8" s="7">
        <f>$B8 * IFERROR(VLOOKUP("buildings|NOx|Asthma symptoms wheeze", US_national_yearly!$D:$AM, 24, FALSE) / VLOOKUP("buildings|NOx|Asthma symptoms wheeze", US_national_yearly!$D:$AM, 10, FALSE), 1)</f>
        <v>4.3883183505997571E-3</v>
      </c>
      <c r="Q8" s="7">
        <f>$B8 * IFERROR(VLOOKUP("buildings|NOx|Asthma symptoms wheeze", US_national_yearly!$D:$AM, 25, FALSE) / VLOOKUP("buildings|NOx|Asthma symptoms wheeze", US_national_yearly!$D:$AM, 10, FALSE), 1)</f>
        <v>4.4056419237996514E-3</v>
      </c>
      <c r="R8" s="7">
        <f>$B8 * IFERROR(VLOOKUP("buildings|NOx|Asthma symptoms wheeze", US_national_yearly!$D:$AM, 26, FALSE) / VLOOKUP("buildings|NOx|Asthma symptoms wheeze", US_national_yearly!$D:$AM, 10, FALSE), 1)</f>
        <v>4.4229654969995457E-3</v>
      </c>
      <c r="S8" s="7">
        <f>$B8 * IFERROR(VLOOKUP("buildings|NOx|Asthma symptoms wheeze", US_national_yearly!$D:$AM, 27, FALSE) / VLOOKUP("buildings|NOx|Asthma symptoms wheeze", US_national_yearly!$D:$AM, 10, FALSE), 1)</f>
        <v>4.4455904507378777E-3</v>
      </c>
      <c r="T8" s="7">
        <f>$B8 * IFERROR(VLOOKUP("buildings|NOx|Asthma symptoms wheeze", US_national_yearly!$D:$AM, 28, FALSE) / VLOOKUP("buildings|NOx|Asthma symptoms wheeze", US_national_yearly!$D:$AM, 10, FALSE), 1)</f>
        <v>4.4682154044762097E-3</v>
      </c>
      <c r="U8" s="7">
        <f>$B8 * IFERROR(VLOOKUP("buildings|NOx|Asthma symptoms wheeze", US_national_yearly!$D:$AM, 29, FALSE) / VLOOKUP("buildings|NOx|Asthma symptoms wheeze", US_national_yearly!$D:$AM, 10, FALSE), 1)</f>
        <v>4.4908403582145416E-3</v>
      </c>
      <c r="V8" s="7">
        <f>$B8 * IFERROR(VLOOKUP("buildings|NOx|Asthma symptoms wheeze", US_national_yearly!$D:$AM, 30, FALSE) / VLOOKUP("buildings|NOx|Asthma symptoms wheeze", US_national_yearly!$D:$AM, 10, FALSE), 1)</f>
        <v>4.5134653119528736E-3</v>
      </c>
      <c r="W8" s="7">
        <f>$B8 * IFERROR(VLOOKUP("buildings|NOx|Asthma symptoms wheeze", US_national_yearly!$D:$AM, 31, FALSE) / VLOOKUP("buildings|NOx|Asthma symptoms wheeze", US_national_yearly!$D:$AM, 10, FALSE), 1)</f>
        <v>4.5360902656912056E-3</v>
      </c>
      <c r="X8" s="7">
        <f>$B8 * IFERROR(VLOOKUP("buildings|NOx|Asthma symptoms wheeze", US_national_yearly!$D:$AM, 32, FALSE) / VLOOKUP("buildings|NOx|Asthma symptoms wheeze", US_national_yearly!$D:$AM, 10, FALSE), 1)</f>
        <v>4.5571119609691107E-3</v>
      </c>
      <c r="Y8" s="7">
        <f>$B8 * IFERROR(VLOOKUP("buildings|NOx|Asthma symptoms wheeze", US_national_yearly!$D:$AM, 33, FALSE) / VLOOKUP("buildings|NOx|Asthma symptoms wheeze", US_national_yearly!$D:$AM, 10, FALSE), 1)</f>
        <v>4.5781336562470149E-3</v>
      </c>
      <c r="Z8" s="7">
        <f>$B8 * IFERROR(VLOOKUP("buildings|NOx|Asthma symptoms wheeze", US_national_yearly!$D:$AM, 34, FALSE) / VLOOKUP("buildings|NOx|Asthma symptoms wheeze", US_national_yearly!$D:$AM, 10, FALSE), 1)</f>
        <v>4.59915535152492E-3</v>
      </c>
      <c r="AA8" s="7">
        <f>$B8 * IFERROR(VLOOKUP("buildings|NOx|Asthma symptoms wheeze", US_national_yearly!$D:$AM, 35, FALSE) / VLOOKUP("buildings|NOx|Asthma symptoms wheeze", US_national_yearly!$D:$AM, 10, FALSE), 1)</f>
        <v>4.6201770468028251E-3</v>
      </c>
      <c r="AB8" s="7">
        <f>$B8 * IFERROR(VLOOKUP("buildings|NOx|Asthma symptoms wheeze", US_national_yearly!$D:$AM, 36, FALSE) / VLOOKUP("buildings|NOx|Asthma symptoms wheeze", US_national_yearly!$D:$AM, 10, FALSE), 1)</f>
        <v>4.6411987420807302E-3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4.3938049044890624E-5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4.5035812662056259E-5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4.61335762792219E-5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4.7231339896387534E-5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4.8329103513553168E-5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4.93785989362721E-5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5.0428094358991011E-5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5.1319615994199999E-5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5.2211137629408987E-5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5.3102659264617975E-5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5.3994180899826957E-5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5.4885702535035945E-5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5.5481679842836384E-5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5.6077657150636823E-5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5.6673634458437262E-5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5.7269611766237708E-5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5.7865589074038134E-5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5.8185134058105064E-5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5.8504679042171987E-5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5.882422402623891E-5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5.9143769010305833E-5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5.9463313994372749E-5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5.9682057613562083E-5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5.990080123275141E-5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6.0119544851940751E-5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6.0338288471130078E-5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6.0557032090319412E-5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2.6641574340828127E-4</v>
      </c>
      <c r="C13" s="7">
        <f>$B13 * IFERROR(VLOOKUP("buildings|NOx|Non-fatal heart attacks", US_national_yearly!$D:$AM, 11, FALSE) / VLOOKUP("buildings|NOx|Non-fatal heart attacks", US_national_yearly!$D:$AM, 10, FALSE), 1)</f>
        <v>2.7403735464198107E-4</v>
      </c>
      <c r="D13" s="7">
        <f>$B13 * IFERROR(VLOOKUP("buildings|NOx|Non-fatal heart attacks", US_national_yearly!$D:$AM, 12, FALSE) / VLOOKUP("buildings|NOx|Non-fatal heart attacks", US_national_yearly!$D:$AM, 10, FALSE), 1)</f>
        <v>2.8165896587568098E-4</v>
      </c>
      <c r="E13" s="7">
        <f>$B13 * IFERROR(VLOOKUP("buildings|NOx|Non-fatal heart attacks", US_national_yearly!$D:$AM, 13, FALSE) / VLOOKUP("buildings|NOx|Non-fatal heart attacks", US_national_yearly!$D:$AM, 10, FALSE), 1)</f>
        <v>2.8928057710938079E-4</v>
      </c>
      <c r="F13" s="7">
        <f>$B13 * IFERROR(VLOOKUP("buildings|NOx|Non-fatal heart attacks", US_national_yearly!$D:$AM, 14, FALSE) / VLOOKUP("buildings|NOx|Non-fatal heart attacks", US_national_yearly!$D:$AM, 10, FALSE), 1)</f>
        <v>2.9690218834308059E-4</v>
      </c>
      <c r="G13" s="7">
        <f>$B13 * IFERROR(VLOOKUP("buildings|NOx|Non-fatal heart attacks", US_national_yearly!$D:$AM, 15, FALSE) / VLOOKUP("buildings|NOx|Non-fatal heart attacks", US_national_yearly!$D:$AM, 10, FALSE), 1)</f>
        <v>3.0402608272839151E-4</v>
      </c>
      <c r="H13" s="7">
        <f>$B13 * IFERROR(VLOOKUP("buildings|NOx|Non-fatal heart attacks", US_national_yearly!$D:$AM, 16, FALSE) / VLOOKUP("buildings|NOx|Non-fatal heart attacks", US_national_yearly!$D:$AM, 10, FALSE), 1)</f>
        <v>3.1114997711370254E-4</v>
      </c>
      <c r="I13" s="7">
        <f>$B13 * IFERROR(VLOOKUP("buildings|NOx|Non-fatal heart attacks", US_national_yearly!$D:$AM, 17, FALSE) / VLOOKUP("buildings|NOx|Non-fatal heart attacks", US_national_yearly!$D:$AM, 10, FALSE), 1)</f>
        <v>3.1677021768577486E-4</v>
      </c>
      <c r="J13" s="7">
        <f>$B13 * IFERROR(VLOOKUP("buildings|NOx|Non-fatal heart attacks", US_national_yearly!$D:$AM, 18, FALSE) / VLOOKUP("buildings|NOx|Non-fatal heart attacks", US_national_yearly!$D:$AM, 10, FALSE), 1)</f>
        <v>3.2239045825784718E-4</v>
      </c>
      <c r="K13" s="7">
        <f>$B13 * IFERROR(VLOOKUP("buildings|NOx|Non-fatal heart attacks", US_national_yearly!$D:$AM, 19, FALSE) / VLOOKUP("buildings|NOx|Non-fatal heart attacks", US_national_yearly!$D:$AM, 10, FALSE), 1)</f>
        <v>3.2801069882991955E-4</v>
      </c>
      <c r="L13" s="7">
        <f>$B13 * IFERROR(VLOOKUP("buildings|NOx|Non-fatal heart attacks", US_national_yearly!$D:$AM, 20, FALSE) / VLOOKUP("buildings|NOx|Non-fatal heart attacks", US_national_yearly!$D:$AM, 10, FALSE), 1)</f>
        <v>3.336309394019917E-4</v>
      </c>
      <c r="M13" s="7">
        <f>$B13 * IFERROR(VLOOKUP("buildings|NOx|Non-fatal heart attacks", US_national_yearly!$D:$AM, 21, FALSE) / VLOOKUP("buildings|NOx|Non-fatal heart attacks", US_national_yearly!$D:$AM, 10, FALSE), 1)</f>
        <v>3.3925117997406413E-4</v>
      </c>
      <c r="N13" s="7">
        <f>$B13 * IFERROR(VLOOKUP("buildings|NOx|Non-fatal heart attacks", US_national_yearly!$D:$AM, 22, FALSE) / VLOOKUP("buildings|NOx|Non-fatal heart attacks", US_national_yearly!$D:$AM, 10, FALSE), 1)</f>
        <v>3.4263361112247387E-4</v>
      </c>
      <c r="O13" s="7">
        <f>$B13 * IFERROR(VLOOKUP("buildings|NOx|Non-fatal heart attacks", US_national_yearly!$D:$AM, 23, FALSE) / VLOOKUP("buildings|NOx|Non-fatal heart attacks", US_national_yearly!$D:$AM, 10, FALSE), 1)</f>
        <v>3.4601604227088361E-4</v>
      </c>
      <c r="P13" s="7">
        <f>$B13 * IFERROR(VLOOKUP("buildings|NOx|Non-fatal heart attacks", US_national_yearly!$D:$AM, 24, FALSE) / VLOOKUP("buildings|NOx|Non-fatal heart attacks", US_national_yearly!$D:$AM, 10, FALSE), 1)</f>
        <v>3.4939847341929336E-4</v>
      </c>
      <c r="Q13" s="7">
        <f>$B13 * IFERROR(VLOOKUP("buildings|NOx|Non-fatal heart attacks", US_national_yearly!$D:$AM, 25, FALSE) / VLOOKUP("buildings|NOx|Non-fatal heart attacks", US_national_yearly!$D:$AM, 10, FALSE), 1)</f>
        <v>3.5278090456770315E-4</v>
      </c>
      <c r="R13" s="7">
        <f>$B13 * IFERROR(VLOOKUP("buildings|NOx|Non-fatal heart attacks", US_national_yearly!$D:$AM, 26, FALSE) / VLOOKUP("buildings|NOx|Non-fatal heart attacks", US_national_yearly!$D:$AM, 10, FALSE), 1)</f>
        <v>3.5616333571611289E-4</v>
      </c>
      <c r="S13" s="7">
        <f>$B13 * IFERROR(VLOOKUP("buildings|NOx|Non-fatal heart attacks", US_national_yearly!$D:$AM, 27, FALSE) / VLOOKUP("buildings|NOx|Non-fatal heart attacks", US_national_yearly!$D:$AM, 10, FALSE), 1)</f>
        <v>3.5770044512324628E-4</v>
      </c>
      <c r="T13" s="7">
        <f>$B13 * IFERROR(VLOOKUP("buildings|NOx|Non-fatal heart attacks", US_national_yearly!$D:$AM, 28, FALSE) / VLOOKUP("buildings|NOx|Non-fatal heart attacks", US_national_yearly!$D:$AM, 10, FALSE), 1)</f>
        <v>3.5923755453037977E-4</v>
      </c>
      <c r="U13" s="7">
        <f>$B13 * IFERROR(VLOOKUP("buildings|NOx|Non-fatal heart attacks", US_national_yearly!$D:$AM, 29, FALSE) / VLOOKUP("buildings|NOx|Non-fatal heart attacks", US_national_yearly!$D:$AM, 10, FALSE), 1)</f>
        <v>3.6077466393751316E-4</v>
      </c>
      <c r="V13" s="7">
        <f>$B13 * IFERROR(VLOOKUP("buildings|NOx|Non-fatal heart attacks", US_national_yearly!$D:$AM, 30, FALSE) / VLOOKUP("buildings|NOx|Non-fatal heart attacks", US_national_yearly!$D:$AM, 10, FALSE), 1)</f>
        <v>3.623117733446466E-4</v>
      </c>
      <c r="W13" s="7">
        <f>$B13 * IFERROR(VLOOKUP("buildings|NOx|Non-fatal heart attacks", US_national_yearly!$D:$AM, 31, FALSE) / VLOOKUP("buildings|NOx|Non-fatal heart attacks", US_national_yearly!$D:$AM, 10, FALSE), 1)</f>
        <v>3.6384888275178004E-4</v>
      </c>
      <c r="X13" s="7">
        <f>$B13 * IFERROR(VLOOKUP("buildings|NOx|Non-fatal heart attacks", US_national_yearly!$D:$AM, 32, FALSE) / VLOOKUP("buildings|NOx|Non-fatal heart attacks", US_national_yearly!$D:$AM, 10, FALSE), 1)</f>
        <v>3.6487708377602957E-4</v>
      </c>
      <c r="Y13" s="7">
        <f>$B13 * IFERROR(VLOOKUP("buildings|NOx|Non-fatal heart attacks", US_national_yearly!$D:$AM, 33, FALSE) / VLOOKUP("buildings|NOx|Non-fatal heart attacks", US_national_yearly!$D:$AM, 10, FALSE), 1)</f>
        <v>3.6590528480027909E-4</v>
      </c>
      <c r="Z13" s="7">
        <f>$B13 * IFERROR(VLOOKUP("buildings|NOx|Non-fatal heart attacks", US_national_yearly!$D:$AM, 34, FALSE) / VLOOKUP("buildings|NOx|Non-fatal heart attacks", US_national_yearly!$D:$AM, 10, FALSE), 1)</f>
        <v>3.6693348582452872E-4</v>
      </c>
      <c r="AA13" s="7">
        <f>$B13 * IFERROR(VLOOKUP("buildings|NOx|Non-fatal heart attacks", US_national_yearly!$D:$AM, 35, FALSE) / VLOOKUP("buildings|NOx|Non-fatal heart attacks", US_national_yearly!$D:$AM, 10, FALSE), 1)</f>
        <v>3.6796168684877825E-4</v>
      </c>
      <c r="AB13" s="7">
        <f>$B13 * IFERROR(VLOOKUP("buildings|NOx|Non-fatal heart attacks", US_national_yearly!$D:$AM, 36, FALSE) / VLOOKUP("buildings|NOx|Non-fatal heart attacks", US_national_yearly!$D:$AM, 10, FALSE), 1)</f>
        <v>3.6898988787302783E-4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0.21781139502026578</v>
      </c>
      <c r="C14" s="7">
        <f>$B14 * IFERROR(VLOOKUP("buildings|NOx|Minor restricted activity days", US_national_yearly!$D:$AM, 11, FALSE) / VLOOKUP("buildings|NOx|Minor restricted activity days", US_national_yearly!$D:$AM, 10, FALSE), 1)</f>
        <v>0.218149386794487</v>
      </c>
      <c r="D14" s="7">
        <f>$B14 * IFERROR(VLOOKUP("buildings|NOx|Minor restricted activity days", US_national_yearly!$D:$AM, 12, FALSE) / VLOOKUP("buildings|NOx|Minor restricted activity days", US_national_yearly!$D:$AM, 10, FALSE), 1)</f>
        <v>0.2184873785687082</v>
      </c>
      <c r="E14" s="7">
        <f>$B14 * IFERROR(VLOOKUP("buildings|NOx|Minor restricted activity days", US_national_yearly!$D:$AM, 13, FALSE) / VLOOKUP("buildings|NOx|Minor restricted activity days", US_national_yearly!$D:$AM, 10, FALSE), 1)</f>
        <v>0.21882537034292943</v>
      </c>
      <c r="F14" s="7">
        <f>$B14 * IFERROR(VLOOKUP("buildings|NOx|Minor restricted activity days", US_national_yearly!$D:$AM, 14, FALSE) / VLOOKUP("buildings|NOx|Minor restricted activity days", US_national_yearly!$D:$AM, 10, FALSE), 1)</f>
        <v>0.21916336211715065</v>
      </c>
      <c r="G14" s="7">
        <f>$B14 * IFERROR(VLOOKUP("buildings|NOx|Minor restricted activity days", US_national_yearly!$D:$AM, 15, FALSE) / VLOOKUP("buildings|NOx|Minor restricted activity days", US_national_yearly!$D:$AM, 10, FALSE), 1)</f>
        <v>0.21977056492606217</v>
      </c>
      <c r="H14" s="7">
        <f>$B14 * IFERROR(VLOOKUP("buildings|NOx|Minor restricted activity days", US_national_yearly!$D:$AM, 16, FALSE) / VLOOKUP("buildings|NOx|Minor restricted activity days", US_national_yearly!$D:$AM, 10, FALSE), 1)</f>
        <v>0.2203777677349737</v>
      </c>
      <c r="I14" s="7">
        <f>$B14 * IFERROR(VLOOKUP("buildings|NOx|Minor restricted activity days", US_national_yearly!$D:$AM, 17, FALSE) / VLOOKUP("buildings|NOx|Minor restricted activity days", US_national_yearly!$D:$AM, 10, FALSE), 1)</f>
        <v>0.22156163997651532</v>
      </c>
      <c r="J14" s="7">
        <f>$B14 * IFERROR(VLOOKUP("buildings|NOx|Minor restricted activity days", US_national_yearly!$D:$AM, 18, FALSE) / VLOOKUP("buildings|NOx|Minor restricted activity days", US_national_yearly!$D:$AM, 10, FALSE), 1)</f>
        <v>0.22274551221805697</v>
      </c>
      <c r="K14" s="7">
        <f>$B14 * IFERROR(VLOOKUP("buildings|NOx|Minor restricted activity days", US_national_yearly!$D:$AM, 19, FALSE) / VLOOKUP("buildings|NOx|Minor restricted activity days", US_national_yearly!$D:$AM, 10, FALSE), 1)</f>
        <v>0.22392938445959859</v>
      </c>
      <c r="L14" s="7">
        <f>$B14 * IFERROR(VLOOKUP("buildings|NOx|Minor restricted activity days", US_national_yearly!$D:$AM, 20, FALSE) / VLOOKUP("buildings|NOx|Minor restricted activity days", US_national_yearly!$D:$AM, 10, FALSE), 1)</f>
        <v>0.22511325670114021</v>
      </c>
      <c r="M14" s="7">
        <f>$B14 * IFERROR(VLOOKUP("buildings|NOx|Minor restricted activity days", US_national_yearly!$D:$AM, 21, FALSE) / VLOOKUP("buildings|NOx|Minor restricted activity days", US_national_yearly!$D:$AM, 10, FALSE), 1)</f>
        <v>0.22629712894268184</v>
      </c>
      <c r="N14" s="7">
        <f>$B14 * IFERROR(VLOOKUP("buildings|NOx|Minor restricted activity days", US_national_yearly!$D:$AM, 22, FALSE) / VLOOKUP("buildings|NOx|Minor restricted activity days", US_national_yearly!$D:$AM, 10, FALSE), 1)</f>
        <v>0.22799078637987683</v>
      </c>
      <c r="O14" s="7">
        <f>$B14 * IFERROR(VLOOKUP("buildings|NOx|Minor restricted activity days", US_national_yearly!$D:$AM, 23, FALSE) / VLOOKUP("buildings|NOx|Minor restricted activity days", US_national_yearly!$D:$AM, 10, FALSE), 1)</f>
        <v>0.22968444381707176</v>
      </c>
      <c r="P14" s="7">
        <f>$B14 * IFERROR(VLOOKUP("buildings|NOx|Minor restricted activity days", US_national_yearly!$D:$AM, 24, FALSE) / VLOOKUP("buildings|NOx|Minor restricted activity days", US_national_yearly!$D:$AM, 10, FALSE), 1)</f>
        <v>0.23137810125426675</v>
      </c>
      <c r="Q14" s="7">
        <f>$B14 * IFERROR(VLOOKUP("buildings|NOx|Minor restricted activity days", US_national_yearly!$D:$AM, 25, FALSE) / VLOOKUP("buildings|NOx|Minor restricted activity days", US_national_yearly!$D:$AM, 10, FALSE), 1)</f>
        <v>0.23307175869146168</v>
      </c>
      <c r="R14" s="7">
        <f>$B14 * IFERROR(VLOOKUP("buildings|NOx|Minor restricted activity days", US_national_yearly!$D:$AM, 26, FALSE) / VLOOKUP("buildings|NOx|Minor restricted activity days", US_national_yearly!$D:$AM, 10, FALSE), 1)</f>
        <v>0.23476541612865662</v>
      </c>
      <c r="S14" s="7">
        <f>$B14 * IFERROR(VLOOKUP("buildings|NOx|Minor restricted activity days", US_national_yearly!$D:$AM, 27, FALSE) / VLOOKUP("buildings|NOx|Minor restricted activity days", US_national_yearly!$D:$AM, 10, FALSE), 1)</f>
        <v>0.23645858600786046</v>
      </c>
      <c r="T14" s="7">
        <f>$B14 * IFERROR(VLOOKUP("buildings|NOx|Minor restricted activity days", US_national_yearly!$D:$AM, 28, FALSE) / VLOOKUP("buildings|NOx|Minor restricted activity days", US_national_yearly!$D:$AM, 10, FALSE), 1)</f>
        <v>0.2381517558870643</v>
      </c>
      <c r="U14" s="7">
        <f>$B14 * IFERROR(VLOOKUP("buildings|NOx|Minor restricted activity days", US_national_yearly!$D:$AM, 29, FALSE) / VLOOKUP("buildings|NOx|Minor restricted activity days", US_national_yearly!$D:$AM, 10, FALSE), 1)</f>
        <v>0.23984492576626817</v>
      </c>
      <c r="V14" s="7">
        <f>$B14 * IFERROR(VLOOKUP("buildings|NOx|Minor restricted activity days", US_national_yearly!$D:$AM, 30, FALSE) / VLOOKUP("buildings|NOx|Minor restricted activity days", US_national_yearly!$D:$AM, 10, FALSE), 1)</f>
        <v>0.24153809564547202</v>
      </c>
      <c r="W14" s="7">
        <f>$B14 * IFERROR(VLOOKUP("buildings|NOx|Minor restricted activity days", US_national_yearly!$D:$AM, 31, FALSE) / VLOOKUP("buildings|NOx|Minor restricted activity days", US_national_yearly!$D:$AM, 10, FALSE), 1)</f>
        <v>0.24323126552467586</v>
      </c>
      <c r="X14" s="7">
        <f>$B14 * IFERROR(VLOOKUP("buildings|NOx|Minor restricted activity days", US_national_yearly!$D:$AM, 32, FALSE) / VLOOKUP("buildings|NOx|Minor restricted activity days", US_national_yearly!$D:$AM, 10, FALSE), 1)</f>
        <v>0.24466324884166182</v>
      </c>
      <c r="Y14" s="7">
        <f>$B14 * IFERROR(VLOOKUP("buildings|NOx|Minor restricted activity days", US_national_yearly!$D:$AM, 33, FALSE) / VLOOKUP("buildings|NOx|Minor restricted activity days", US_national_yearly!$D:$AM, 10, FALSE), 1)</f>
        <v>0.24609523215864784</v>
      </c>
      <c r="Z14" s="7">
        <f>$B14 * IFERROR(VLOOKUP("buildings|NOx|Minor restricted activity days", US_national_yearly!$D:$AM, 34, FALSE) / VLOOKUP("buildings|NOx|Minor restricted activity days", US_national_yearly!$D:$AM, 10, FALSE), 1)</f>
        <v>0.24752721547563378</v>
      </c>
      <c r="AA14" s="7">
        <f>$B14 * IFERROR(VLOOKUP("buildings|NOx|Minor restricted activity days", US_national_yearly!$D:$AM, 35, FALSE) / VLOOKUP("buildings|NOx|Minor restricted activity days", US_national_yearly!$D:$AM, 10, FALSE), 1)</f>
        <v>0.24895919879261977</v>
      </c>
      <c r="AB14" s="7">
        <f>$B14 * IFERROR(VLOOKUP("buildings|NOx|Minor restricted activity days", US_national_yearly!$D:$AM, 36, FALSE) / VLOOKUP("buildings|NOx|Minor restricted activity days", US_national_yearly!$D:$AM, 10, FALSE), 1)</f>
        <v>0.25039118210960576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3.6949967388317038E-2</v>
      </c>
      <c r="C15" s="7">
        <f>$B15 * IFERROR(VLOOKUP("buildings|NOx|Work loss days", US_national_yearly!$D:$AM, 11, FALSE) / VLOOKUP("buildings|NOx|Work loss days", US_national_yearly!$D:$AM, 10, FALSE), 1)</f>
        <v>3.7032799425730123E-2</v>
      </c>
      <c r="D15" s="7">
        <f>$B15 * IFERROR(VLOOKUP("buildings|NOx|Work loss days", US_national_yearly!$D:$AM, 12, FALSE) / VLOOKUP("buildings|NOx|Work loss days", US_national_yearly!$D:$AM, 10, FALSE), 1)</f>
        <v>3.7115631463143194E-2</v>
      </c>
      <c r="E15" s="7">
        <f>$B15 * IFERROR(VLOOKUP("buildings|NOx|Work loss days", US_national_yearly!$D:$AM, 13, FALSE) / VLOOKUP("buildings|NOx|Work loss days", US_national_yearly!$D:$AM, 10, FALSE), 1)</f>
        <v>3.7198463500556264E-2</v>
      </c>
      <c r="F15" s="7">
        <f>$B15 * IFERROR(VLOOKUP("buildings|NOx|Work loss days", US_national_yearly!$D:$AM, 14, FALSE) / VLOOKUP("buildings|NOx|Work loss days", US_national_yearly!$D:$AM, 10, FALSE), 1)</f>
        <v>3.7281295537969349E-2</v>
      </c>
      <c r="G15" s="7">
        <f>$B15 * IFERROR(VLOOKUP("buildings|NOx|Work loss days", US_national_yearly!$D:$AM, 15, FALSE) / VLOOKUP("buildings|NOx|Work loss days", US_national_yearly!$D:$AM, 10, FALSE), 1)</f>
        <v>3.7401949687182648E-2</v>
      </c>
      <c r="H15" s="7">
        <f>$B15 * IFERROR(VLOOKUP("buildings|NOx|Work loss days", US_national_yearly!$D:$AM, 16, FALSE) / VLOOKUP("buildings|NOx|Work loss days", US_national_yearly!$D:$AM, 10, FALSE), 1)</f>
        <v>3.7522603836395954E-2</v>
      </c>
      <c r="I15" s="7">
        <f>$B15 * IFERROR(VLOOKUP("buildings|NOx|Work loss days", US_national_yearly!$D:$AM, 17, FALSE) / VLOOKUP("buildings|NOx|Work loss days", US_national_yearly!$D:$AM, 10, FALSE), 1)</f>
        <v>3.7717737963005336E-2</v>
      </c>
      <c r="J15" s="7">
        <f>$B15 * IFERROR(VLOOKUP("buildings|NOx|Work loss days", US_national_yearly!$D:$AM, 18, FALSE) / VLOOKUP("buildings|NOx|Work loss days", US_national_yearly!$D:$AM, 10, FALSE), 1)</f>
        <v>3.7912872089614719E-2</v>
      </c>
      <c r="K15" s="7">
        <f>$B15 * IFERROR(VLOOKUP("buildings|NOx|Work loss days", US_national_yearly!$D:$AM, 19, FALSE) / VLOOKUP("buildings|NOx|Work loss days", US_national_yearly!$D:$AM, 10, FALSE), 1)</f>
        <v>3.8108006216224101E-2</v>
      </c>
      <c r="L15" s="7">
        <f>$B15 * IFERROR(VLOOKUP("buildings|NOx|Work loss days", US_national_yearly!$D:$AM, 20, FALSE) / VLOOKUP("buildings|NOx|Work loss days", US_national_yearly!$D:$AM, 10, FALSE), 1)</f>
        <v>3.8303140342833483E-2</v>
      </c>
      <c r="M15" s="7">
        <f>$B15 * IFERROR(VLOOKUP("buildings|NOx|Work loss days", US_national_yearly!$D:$AM, 21, FALSE) / VLOOKUP("buildings|NOx|Work loss days", US_national_yearly!$D:$AM, 10, FALSE), 1)</f>
        <v>3.8498274469442859E-2</v>
      </c>
      <c r="N15" s="7">
        <f>$B15 * IFERROR(VLOOKUP("buildings|NOx|Work loss days", US_national_yearly!$D:$AM, 22, FALSE) / VLOOKUP("buildings|NOx|Work loss days", US_national_yearly!$D:$AM, 10, FALSE), 1)</f>
        <v>3.875214429003225E-2</v>
      </c>
      <c r="O15" s="7">
        <f>$B15 * IFERROR(VLOOKUP("buildings|NOx|Work loss days", US_national_yearly!$D:$AM, 23, FALSE) / VLOOKUP("buildings|NOx|Work loss days", US_national_yearly!$D:$AM, 10, FALSE), 1)</f>
        <v>3.9006014110621649E-2</v>
      </c>
      <c r="P15" s="7">
        <f>$B15 * IFERROR(VLOOKUP("buildings|NOx|Work loss days", US_national_yearly!$D:$AM, 24, FALSE) / VLOOKUP("buildings|NOx|Work loss days", US_national_yearly!$D:$AM, 10, FALSE), 1)</f>
        <v>3.9259883931211041E-2</v>
      </c>
      <c r="Q15" s="7">
        <f>$B15 * IFERROR(VLOOKUP("buildings|NOx|Work loss days", US_national_yearly!$D:$AM, 25, FALSE) / VLOOKUP("buildings|NOx|Work loss days", US_national_yearly!$D:$AM, 10, FALSE), 1)</f>
        <v>3.951375375180044E-2</v>
      </c>
      <c r="R15" s="7">
        <f>$B15 * IFERROR(VLOOKUP("buildings|NOx|Work loss days", US_national_yearly!$D:$AM, 26, FALSE) / VLOOKUP("buildings|NOx|Work loss days", US_national_yearly!$D:$AM, 10, FALSE), 1)</f>
        <v>3.9767623572389839E-2</v>
      </c>
      <c r="S15" s="7">
        <f>$B15 * IFERROR(VLOOKUP("buildings|NOx|Work loss days", US_national_yearly!$D:$AM, 27, FALSE) / VLOOKUP("buildings|NOx|Work loss days", US_national_yearly!$D:$AM, 10, FALSE), 1)</f>
        <v>4.0050516997087122E-2</v>
      </c>
      <c r="T15" s="7">
        <f>$B15 * IFERROR(VLOOKUP("buildings|NOx|Work loss days", US_national_yearly!$D:$AM, 28, FALSE) / VLOOKUP("buildings|NOx|Work loss days", US_national_yearly!$D:$AM, 10, FALSE), 1)</f>
        <v>4.033341042178442E-2</v>
      </c>
      <c r="U15" s="7">
        <f>$B15 * IFERROR(VLOOKUP("buildings|NOx|Work loss days", US_national_yearly!$D:$AM, 29, FALSE) / VLOOKUP("buildings|NOx|Work loss days", US_national_yearly!$D:$AM, 10, FALSE), 1)</f>
        <v>4.0616303846481711E-2</v>
      </c>
      <c r="V15" s="7">
        <f>$B15 * IFERROR(VLOOKUP("buildings|NOx|Work loss days", US_national_yearly!$D:$AM, 30, FALSE) / VLOOKUP("buildings|NOx|Work loss days", US_national_yearly!$D:$AM, 10, FALSE), 1)</f>
        <v>4.0899197271178994E-2</v>
      </c>
      <c r="W15" s="7">
        <f>$B15 * IFERROR(VLOOKUP("buildings|NOx|Work loss days", US_national_yearly!$D:$AM, 31, FALSE) / VLOOKUP("buildings|NOx|Work loss days", US_national_yearly!$D:$AM, 10, FALSE), 1)</f>
        <v>4.1182090695876285E-2</v>
      </c>
      <c r="X15" s="7">
        <f>$B15 * IFERROR(VLOOKUP("buildings|NOx|Work loss days", US_national_yearly!$D:$AM, 32, FALSE) / VLOOKUP("buildings|NOx|Work loss days", US_national_yearly!$D:$AM, 10, FALSE), 1)</f>
        <v>4.1427701295481463E-2</v>
      </c>
      <c r="Y15" s="7">
        <f>$B15 * IFERROR(VLOOKUP("buildings|NOx|Work loss days", US_national_yearly!$D:$AM, 33, FALSE) / VLOOKUP("buildings|NOx|Work loss days", US_national_yearly!$D:$AM, 10, FALSE), 1)</f>
        <v>4.1673311895086648E-2</v>
      </c>
      <c r="Z15" s="7">
        <f>$B15 * IFERROR(VLOOKUP("buildings|NOx|Work loss days", US_national_yearly!$D:$AM, 34, FALSE) / VLOOKUP("buildings|NOx|Work loss days", US_national_yearly!$D:$AM, 10, FALSE), 1)</f>
        <v>4.1918922494691827E-2</v>
      </c>
      <c r="AA15" s="7">
        <f>$B15 * IFERROR(VLOOKUP("buildings|NOx|Work loss days", US_national_yearly!$D:$AM, 35, FALSE) / VLOOKUP("buildings|NOx|Work loss days", US_national_yearly!$D:$AM, 10, FALSE), 1)</f>
        <v>4.2164533094297012E-2</v>
      </c>
      <c r="AB15" s="7">
        <f>$B15 * IFERROR(VLOOKUP("buildings|NOx|Work loss days", US_national_yearly!$D:$AM, 36, FALSE) / VLOOKUP("buildings|NOx|Work loss days", US_national_yearly!$D:$AM, 10, FALSE), 1)</f>
        <v>4.241014369390219E-2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6.5547811335651618E-5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6.7474922813446248E-5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6.9402034291240905E-5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7.1329145769035535E-5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7.3256257246830166E-5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7.5086978101203308E-5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7.6917698955576464E-5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7.845806980713353E-5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7.9998440658690583E-5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8.1538811510247636E-5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8.3079182361804702E-5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8.4619553213361741E-5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8.558310779892404E-5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8.6546662384486326E-5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8.7510216970048611E-5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8.8473771555610896E-5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8.9437326141173168E-5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8.9877601647293123E-5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9.0317877153413051E-5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9.0758152659532992E-5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9.119842816565292E-5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9.1638703671772861E-5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9.1884108793496499E-5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9.2129513915220165E-5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9.2374919036943804E-5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9.2620324158667469E-5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9.2865729280391108E-5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4.6674019548611454E-4</v>
      </c>
      <c r="C2" s="7">
        <f>$B2 * IFERROR(VLOOKUP("buildings|SO2|Premature mortality", US_national_yearly!$D:$AM, 11, FALSE) / VLOOKUP("buildings|SO2|Premature mortality", US_national_yearly!$D:$AM, 10, FALSE), 1)</f>
        <v>4.7265305250227566E-4</v>
      </c>
      <c r="D2" s="7">
        <f>$B2 * IFERROR(VLOOKUP("buildings|SO2|Premature mortality", US_national_yearly!$D:$AM, 12, FALSE) / VLOOKUP("buildings|SO2|Premature mortality", US_national_yearly!$D:$AM, 10, FALSE), 1)</f>
        <v>4.7856590951843666E-4</v>
      </c>
      <c r="E2" s="7">
        <f>$B2 * IFERROR(VLOOKUP("buildings|SO2|Premature mortality", US_national_yearly!$D:$AM, 13, FALSE) / VLOOKUP("buildings|SO2|Premature mortality", US_national_yearly!$D:$AM, 10, FALSE), 1)</f>
        <v>4.8447876653459772E-4</v>
      </c>
      <c r="F2" s="7">
        <f>$B2 * IFERROR(VLOOKUP("buildings|SO2|Premature mortality", US_national_yearly!$D:$AM, 14, FALSE) / VLOOKUP("buildings|SO2|Premature mortality", US_national_yearly!$D:$AM, 10, FALSE), 1)</f>
        <v>4.9039162355075884E-4</v>
      </c>
      <c r="G2" s="7">
        <f>$B2 * IFERROR(VLOOKUP("buildings|SO2|Premature mortality", US_national_yearly!$D:$AM, 15, FALSE) / VLOOKUP("buildings|SO2|Premature mortality", US_national_yearly!$D:$AM, 10, FALSE), 1)</f>
        <v>5.0178449925992606E-4</v>
      </c>
      <c r="H2" s="7">
        <f>$B2 * IFERROR(VLOOKUP("buildings|SO2|Premature mortality", US_national_yearly!$D:$AM, 16, FALSE) / VLOOKUP("buildings|SO2|Premature mortality", US_national_yearly!$D:$AM, 10, FALSE), 1)</f>
        <v>5.131773749690934E-4</v>
      </c>
      <c r="I2" s="7">
        <f>$B2 * IFERROR(VLOOKUP("buildings|SO2|Premature mortality", US_national_yearly!$D:$AM, 17, FALSE) / VLOOKUP("buildings|SO2|Premature mortality", US_national_yearly!$D:$AM, 10, FALSE), 1)</f>
        <v>5.207102789492197E-4</v>
      </c>
      <c r="J2" s="7">
        <f>$B2 * IFERROR(VLOOKUP("buildings|SO2|Premature mortality", US_national_yearly!$D:$AM, 18, FALSE) / VLOOKUP("buildings|SO2|Premature mortality", US_national_yearly!$D:$AM, 10, FALSE), 1)</f>
        <v>5.282431829293459E-4</v>
      </c>
      <c r="K2" s="7">
        <f>$B2 * IFERROR(VLOOKUP("buildings|SO2|Premature mortality", US_national_yearly!$D:$AM, 19, FALSE) / VLOOKUP("buildings|SO2|Premature mortality", US_national_yearly!$D:$AM, 10, FALSE), 1)</f>
        <v>5.357760869094722E-4</v>
      </c>
      <c r="L2" s="7">
        <f>$B2 * IFERROR(VLOOKUP("buildings|SO2|Premature mortality", US_national_yearly!$D:$AM, 20, FALSE) / VLOOKUP("buildings|SO2|Premature mortality", US_national_yearly!$D:$AM, 10, FALSE), 1)</f>
        <v>5.4330899088959851E-4</v>
      </c>
      <c r="M2" s="7">
        <f>$B2 * IFERROR(VLOOKUP("buildings|SO2|Premature mortality", US_national_yearly!$D:$AM, 21, FALSE) / VLOOKUP("buildings|SO2|Premature mortality", US_national_yearly!$D:$AM, 10, FALSE), 1)</f>
        <v>5.5084189486972481E-4</v>
      </c>
      <c r="N2" s="7">
        <f>$B2 * IFERROR(VLOOKUP("buildings|SO2|Premature mortality", US_national_yearly!$D:$AM, 22, FALSE) / VLOOKUP("buildings|SO2|Premature mortality", US_national_yearly!$D:$AM, 10, FALSE), 1)</f>
        <v>5.5672633486029955E-4</v>
      </c>
      <c r="O2" s="7">
        <f>$B2 * IFERROR(VLOOKUP("buildings|SO2|Premature mortality", US_national_yearly!$D:$AM, 23, FALSE) / VLOOKUP("buildings|SO2|Premature mortality", US_national_yearly!$D:$AM, 10, FALSE), 1)</f>
        <v>5.6261077485087406E-4</v>
      </c>
      <c r="P2" s="7">
        <f>$B2 * IFERROR(VLOOKUP("buildings|SO2|Premature mortality", US_national_yearly!$D:$AM, 24, FALSE) / VLOOKUP("buildings|SO2|Premature mortality", US_national_yearly!$D:$AM, 10, FALSE), 1)</f>
        <v>5.6849521484144869E-4</v>
      </c>
      <c r="Q2" s="7">
        <f>$B2 * IFERROR(VLOOKUP("buildings|SO2|Premature mortality", US_national_yearly!$D:$AM, 25, FALSE) / VLOOKUP("buildings|SO2|Premature mortality", US_national_yearly!$D:$AM, 10, FALSE), 1)</f>
        <v>5.7437965483202332E-4</v>
      </c>
      <c r="R2" s="7">
        <f>$B2 * IFERROR(VLOOKUP("buildings|SO2|Premature mortality", US_national_yearly!$D:$AM, 26, FALSE) / VLOOKUP("buildings|SO2|Premature mortality", US_national_yearly!$D:$AM, 10, FALSE), 1)</f>
        <v>5.8026409482259795E-4</v>
      </c>
      <c r="S2" s="7">
        <f>$B2 * IFERROR(VLOOKUP("buildings|SO2|Premature mortality", US_national_yearly!$D:$AM, 27, FALSE) / VLOOKUP("buildings|SO2|Premature mortality", US_national_yearly!$D:$AM, 10, FALSE), 1)</f>
        <v>5.8341351427491255E-4</v>
      </c>
      <c r="T2" s="7">
        <f>$B2 * IFERROR(VLOOKUP("buildings|SO2|Premature mortality", US_national_yearly!$D:$AM, 28, FALSE) / VLOOKUP("buildings|SO2|Premature mortality", US_national_yearly!$D:$AM, 10, FALSE), 1)</f>
        <v>5.8656293372722716E-4</v>
      </c>
      <c r="U2" s="7">
        <f>$B2 * IFERROR(VLOOKUP("buildings|SO2|Premature mortality", US_national_yearly!$D:$AM, 29, FALSE) / VLOOKUP("buildings|SO2|Premature mortality", US_national_yearly!$D:$AM, 10, FALSE), 1)</f>
        <v>5.8971235317954176E-4</v>
      </c>
      <c r="V2" s="7">
        <f>$B2 * IFERROR(VLOOKUP("buildings|SO2|Premature mortality", US_national_yearly!$D:$AM, 30, FALSE) / VLOOKUP("buildings|SO2|Premature mortality", US_national_yearly!$D:$AM, 10, FALSE), 1)</f>
        <v>5.9286177263185647E-4</v>
      </c>
      <c r="W2" s="7">
        <f>$B2 * IFERROR(VLOOKUP("buildings|SO2|Premature mortality", US_national_yearly!$D:$AM, 31, FALSE) / VLOOKUP("buildings|SO2|Premature mortality", US_national_yearly!$D:$AM, 10, FALSE), 1)</f>
        <v>5.9601119208417097E-4</v>
      </c>
      <c r="X2" s="7">
        <f>$B2 * IFERROR(VLOOKUP("buildings|SO2|Premature mortality", US_national_yearly!$D:$AM, 32, FALSE) / VLOOKUP("buildings|SO2|Premature mortality", US_national_yearly!$D:$AM, 10, FALSE), 1)</f>
        <v>5.9664757938742178E-4</v>
      </c>
      <c r="Y2" s="7">
        <f>$B2 * IFERROR(VLOOKUP("buildings|SO2|Premature mortality", US_national_yearly!$D:$AM, 33, FALSE) / VLOOKUP("buildings|SO2|Premature mortality", US_national_yearly!$D:$AM, 10, FALSE), 1)</f>
        <v>5.972839666906726E-4</v>
      </c>
      <c r="Z2" s="7">
        <f>$B2 * IFERROR(VLOOKUP("buildings|SO2|Premature mortality", US_national_yearly!$D:$AM, 34, FALSE) / VLOOKUP("buildings|SO2|Premature mortality", US_national_yearly!$D:$AM, 10, FALSE), 1)</f>
        <v>5.979203539939232E-4</v>
      </c>
      <c r="AA2" s="7">
        <f>$B2 * IFERROR(VLOOKUP("buildings|SO2|Premature mortality", US_national_yearly!$D:$AM, 35, FALSE) / VLOOKUP("buildings|SO2|Premature mortality", US_national_yearly!$D:$AM, 10, FALSE), 1)</f>
        <v>5.9855674129717402E-4</v>
      </c>
      <c r="AB2" s="7">
        <f>$B2 * IFERROR(VLOOKUP("buildings|SO2|Premature mortality", US_national_yearly!$D:$AM, 36, FALSE) / VLOOKUP("buildings|SO2|Premature mortality", US_national_yearly!$D:$AM, 10, FALSE), 1)</f>
        <v>5.9919312860042483E-4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1.3423338671290006E-6</v>
      </c>
      <c r="C3" s="7">
        <f>$B3 * IFERROR(VLOOKUP("buildings|SO2|Infant mortality", US_national_yearly!$D:$AM, 11, FALSE) / VLOOKUP("buildings|SO2|Infant mortality", US_national_yearly!$D:$AM, 10, FALSE), 1)</f>
        <v>1.3308281769506191E-6</v>
      </c>
      <c r="D3" s="7">
        <f>$B3 * IFERROR(VLOOKUP("buildings|SO2|Infant mortality", US_national_yearly!$D:$AM, 12, FALSE) / VLOOKUP("buildings|SO2|Infant mortality", US_national_yearly!$D:$AM, 10, FALSE), 1)</f>
        <v>1.3193224867722377E-6</v>
      </c>
      <c r="E3" s="7">
        <f>$B3 * IFERROR(VLOOKUP("buildings|SO2|Infant mortality", US_national_yearly!$D:$AM, 13, FALSE) / VLOOKUP("buildings|SO2|Infant mortality", US_national_yearly!$D:$AM, 10, FALSE), 1)</f>
        <v>1.3078167965938564E-6</v>
      </c>
      <c r="F3" s="7">
        <f>$B3 * IFERROR(VLOOKUP("buildings|SO2|Infant mortality", US_national_yearly!$D:$AM, 14, FALSE) / VLOOKUP("buildings|SO2|Infant mortality", US_national_yearly!$D:$AM, 10, FALSE), 1)</f>
        <v>1.296311106415475E-6</v>
      </c>
      <c r="G3" s="7">
        <f>$B3 * IFERROR(VLOOKUP("buildings|SO2|Infant mortality", US_national_yearly!$D:$AM, 15, FALSE) / VLOOKUP("buildings|SO2|Infant mortality", US_national_yearly!$D:$AM, 10, FALSE), 1)</f>
        <v>8.6329184124825488E-7</v>
      </c>
      <c r="H3" s="7">
        <f>$B3 * IFERROR(VLOOKUP("buildings|SO2|Infant mortality", US_national_yearly!$D:$AM, 16, FALSE) / VLOOKUP("buildings|SO2|Infant mortality", US_national_yearly!$D:$AM, 10, FALSE), 1)</f>
        <v>4.3027257608103488E-7</v>
      </c>
      <c r="I3" s="7">
        <f>$B3 * IFERROR(VLOOKUP("buildings|SO2|Infant mortality", US_national_yearly!$D:$AM, 17, FALSE) / VLOOKUP("buildings|SO2|Infant mortality", US_national_yearly!$D:$AM, 10, FALSE), 1)</f>
        <v>4.2757299842371709E-7</v>
      </c>
      <c r="J3" s="7">
        <f>$B3 * IFERROR(VLOOKUP("buildings|SO2|Infant mortality", US_national_yearly!$D:$AM, 18, FALSE) / VLOOKUP("buildings|SO2|Infant mortality", US_national_yearly!$D:$AM, 10, FALSE), 1)</f>
        <v>4.2487342076639921E-7</v>
      </c>
      <c r="K3" s="7">
        <f>$B3 * IFERROR(VLOOKUP("buildings|SO2|Infant mortality", US_national_yearly!$D:$AM, 19, FALSE) / VLOOKUP("buildings|SO2|Infant mortality", US_national_yearly!$D:$AM, 10, FALSE), 1)</f>
        <v>4.2217384310908142E-7</v>
      </c>
      <c r="L3" s="7">
        <f>$B3 * IFERROR(VLOOKUP("buildings|SO2|Infant mortality", US_national_yearly!$D:$AM, 20, FALSE) / VLOOKUP("buildings|SO2|Infant mortality", US_national_yearly!$D:$AM, 10, FALSE), 1)</f>
        <v>4.1947426545176354E-7</v>
      </c>
      <c r="M3" s="7">
        <f>$B3 * IFERROR(VLOOKUP("buildings|SO2|Infant mortality", US_national_yearly!$D:$AM, 21, FALSE) / VLOOKUP("buildings|SO2|Infant mortality", US_national_yearly!$D:$AM, 10, FALSE), 1)</f>
        <v>4.1677468779444575E-7</v>
      </c>
      <c r="N3" s="7">
        <f>$B3 * IFERROR(VLOOKUP("buildings|SO2|Infant mortality", US_national_yearly!$D:$AM, 22, FALSE) / VLOOKUP("buildings|SO2|Infant mortality", US_national_yearly!$D:$AM, 10, FALSE), 1)</f>
        <v>4.1508233938490543E-7</v>
      </c>
      <c r="O3" s="7">
        <f>$B3 * IFERROR(VLOOKUP("buildings|SO2|Infant mortality", US_national_yearly!$D:$AM, 23, FALSE) / VLOOKUP("buildings|SO2|Infant mortality", US_national_yearly!$D:$AM, 10, FALSE), 1)</f>
        <v>4.1338999097536504E-7</v>
      </c>
      <c r="P3" s="7">
        <f>$B3 * IFERROR(VLOOKUP("buildings|SO2|Infant mortality", US_national_yearly!$D:$AM, 24, FALSE) / VLOOKUP("buildings|SO2|Infant mortality", US_national_yearly!$D:$AM, 10, FALSE), 1)</f>
        <v>4.1169764256582466E-7</v>
      </c>
      <c r="Q3" s="7">
        <f>$B3 * IFERROR(VLOOKUP("buildings|SO2|Infant mortality", US_national_yearly!$D:$AM, 25, FALSE) / VLOOKUP("buildings|SO2|Infant mortality", US_national_yearly!$D:$AM, 10, FALSE), 1)</f>
        <v>4.1000529415628433E-7</v>
      </c>
      <c r="R3" s="7">
        <f>$B3 * IFERROR(VLOOKUP("buildings|SO2|Infant mortality", US_national_yearly!$D:$AM, 26, FALSE) / VLOOKUP("buildings|SO2|Infant mortality", US_national_yearly!$D:$AM, 10, FALSE), 1)</f>
        <v>4.0831294574674395E-7</v>
      </c>
      <c r="S3" s="7">
        <f>$B3 * IFERROR(VLOOKUP("buildings|SO2|Infant mortality", US_national_yearly!$D:$AM, 27, FALSE) / VLOOKUP("buildings|SO2|Infant mortality", US_national_yearly!$D:$AM, 10, FALSE), 1)</f>
        <v>4.0618789267126619E-7</v>
      </c>
      <c r="T3" s="7">
        <f>$B3 * IFERROR(VLOOKUP("buildings|SO2|Infant mortality", US_national_yearly!$D:$AM, 28, FALSE) / VLOOKUP("buildings|SO2|Infant mortality", US_national_yearly!$D:$AM, 10, FALSE), 1)</f>
        <v>4.0406283959578837E-7</v>
      </c>
      <c r="U3" s="7">
        <f>$B3 * IFERROR(VLOOKUP("buildings|SO2|Infant mortality", US_national_yearly!$D:$AM, 29, FALSE) / VLOOKUP("buildings|SO2|Infant mortality", US_national_yearly!$D:$AM, 10, FALSE), 1)</f>
        <v>4.0193778652031061E-7</v>
      </c>
      <c r="V3" s="7">
        <f>$B3 * IFERROR(VLOOKUP("buildings|SO2|Infant mortality", US_national_yearly!$D:$AM, 30, FALSE) / VLOOKUP("buildings|SO2|Infant mortality", US_national_yearly!$D:$AM, 10, FALSE), 1)</f>
        <v>3.9981273344483279E-7</v>
      </c>
      <c r="W3" s="7">
        <f>$B3 * IFERROR(VLOOKUP("buildings|SO2|Infant mortality", US_national_yearly!$D:$AM, 31, FALSE) / VLOOKUP("buildings|SO2|Infant mortality", US_national_yearly!$D:$AM, 10, FALSE), 1)</f>
        <v>3.9768768036935503E-7</v>
      </c>
      <c r="X3" s="7">
        <f>$B3 * IFERROR(VLOOKUP("buildings|SO2|Infant mortality", US_national_yearly!$D:$AM, 32, FALSE) / VLOOKUP("buildings|SO2|Infant mortality", US_national_yearly!$D:$AM, 10, FALSE), 1)</f>
        <v>3.9536678569291902E-7</v>
      </c>
      <c r="Y3" s="7">
        <f>$B3 * IFERROR(VLOOKUP("buildings|SO2|Infant mortality", US_national_yearly!$D:$AM, 33, FALSE) / VLOOKUP("buildings|SO2|Infant mortality", US_national_yearly!$D:$AM, 10, FALSE), 1)</f>
        <v>3.9304589101648301E-7</v>
      </c>
      <c r="Z3" s="7">
        <f>$B3 * IFERROR(VLOOKUP("buildings|SO2|Infant mortality", US_national_yearly!$D:$AM, 34, FALSE) / VLOOKUP("buildings|SO2|Infant mortality", US_national_yearly!$D:$AM, 10, FALSE), 1)</f>
        <v>3.9072499634004711E-7</v>
      </c>
      <c r="AA3" s="7">
        <f>$B3 * IFERROR(VLOOKUP("buildings|SO2|Infant mortality", US_national_yearly!$D:$AM, 35, FALSE) / VLOOKUP("buildings|SO2|Infant mortality", US_national_yearly!$D:$AM, 10, FALSE), 1)</f>
        <v>3.8840410166361104E-7</v>
      </c>
      <c r="AB3" s="7">
        <f>$B3 * IFERROR(VLOOKUP("buildings|SO2|Infant mortality", US_national_yearly!$D:$AM, 36, FALSE) / VLOOKUP("buildings|SO2|Infant mortality", US_national_yearly!$D:$AM, 10, FALSE), 1)</f>
        <v>3.8608320698717514E-7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1.4133171681960295E-3</v>
      </c>
      <c r="C6" s="7">
        <f>$B6 * IFERROR(VLOOKUP("buildings|SO2|Asthma symptoms cough", US_national_yearly!$D:$AM, 11, FALSE) / VLOOKUP("buildings|SO2|Asthma symptoms cough", US_national_yearly!$D:$AM, 10, FALSE), 1)</f>
        <v>1.4133171681960295E-3</v>
      </c>
      <c r="D6" s="7">
        <f>$B6 * IFERROR(VLOOKUP("buildings|SO2|Asthma symptoms cough", US_national_yearly!$D:$AM, 12, FALSE) / VLOOKUP("buildings|SO2|Asthma symptoms cough", US_national_yearly!$D:$AM, 10, FALSE), 1)</f>
        <v>1.4133171681960295E-3</v>
      </c>
      <c r="E6" s="7">
        <f>$B6 * IFERROR(VLOOKUP("buildings|SO2|Asthma symptoms cough", US_national_yearly!$D:$AM, 13, FALSE) / VLOOKUP("buildings|SO2|Asthma symptoms cough", US_national_yearly!$D:$AM, 10, FALSE), 1)</f>
        <v>1.4133171681960295E-3</v>
      </c>
      <c r="F6" s="7">
        <f>$B6 * IFERROR(VLOOKUP("buildings|SO2|Asthma symptoms cough", US_national_yearly!$D:$AM, 14, FALSE) / VLOOKUP("buildings|SO2|Asthma symptoms cough", US_national_yearly!$D:$AM, 10, FALSE), 1)</f>
        <v>1.4133171681960295E-3</v>
      </c>
      <c r="G6" s="7">
        <f>$B6 * IFERROR(VLOOKUP("buildings|SO2|Asthma symptoms cough", US_national_yearly!$D:$AM, 15, FALSE) / VLOOKUP("buildings|SO2|Asthma symptoms cough", US_national_yearly!$D:$AM, 10, FALSE), 1)</f>
        <v>1.4133171681960295E-3</v>
      </c>
      <c r="H6" s="7">
        <f>$B6 * IFERROR(VLOOKUP("buildings|SO2|Asthma symptoms cough", US_national_yearly!$D:$AM, 16, FALSE) / VLOOKUP("buildings|SO2|Asthma symptoms cough", US_national_yearly!$D:$AM, 10, FALSE), 1)</f>
        <v>1.4133171681960295E-3</v>
      </c>
      <c r="I6" s="7">
        <f>$B6 * IFERROR(VLOOKUP("buildings|SO2|Asthma symptoms cough", US_national_yearly!$D:$AM, 17, FALSE) / VLOOKUP("buildings|SO2|Asthma symptoms cough", US_national_yearly!$D:$AM, 10, FALSE), 1)</f>
        <v>1.4133171681960295E-3</v>
      </c>
      <c r="J6" s="7">
        <f>$B6 * IFERROR(VLOOKUP("buildings|SO2|Asthma symptoms cough", US_national_yearly!$D:$AM, 18, FALSE) / VLOOKUP("buildings|SO2|Asthma symptoms cough", US_national_yearly!$D:$AM, 10, FALSE), 1)</f>
        <v>1.4133171681960295E-3</v>
      </c>
      <c r="K6" s="7">
        <f>$B6 * IFERROR(VLOOKUP("buildings|SO2|Asthma symptoms cough", US_national_yearly!$D:$AM, 19, FALSE) / VLOOKUP("buildings|SO2|Asthma symptoms cough", US_national_yearly!$D:$AM, 10, FALSE), 1)</f>
        <v>1.4133171681960295E-3</v>
      </c>
      <c r="L6" s="7">
        <f>$B6 * IFERROR(VLOOKUP("buildings|SO2|Asthma symptoms cough", US_national_yearly!$D:$AM, 20, FALSE) / VLOOKUP("buildings|SO2|Asthma symptoms cough", US_national_yearly!$D:$AM, 10, FALSE), 1)</f>
        <v>1.4133171681960295E-3</v>
      </c>
      <c r="M6" s="7">
        <f>$B6 * IFERROR(VLOOKUP("buildings|SO2|Asthma symptoms cough", US_national_yearly!$D:$AM, 21, FALSE) / VLOOKUP("buildings|SO2|Asthma symptoms cough", US_national_yearly!$D:$AM, 10, FALSE), 1)</f>
        <v>1.4133171681960295E-3</v>
      </c>
      <c r="N6" s="7">
        <f>$B6 * IFERROR(VLOOKUP("buildings|SO2|Asthma symptoms cough", US_national_yearly!$D:$AM, 22, FALSE) / VLOOKUP("buildings|SO2|Asthma symptoms cough", US_national_yearly!$D:$AM, 10, FALSE), 1)</f>
        <v>1.4133171681960295E-3</v>
      </c>
      <c r="O6" s="7">
        <f>$B6 * IFERROR(VLOOKUP("buildings|SO2|Asthma symptoms cough", US_national_yearly!$D:$AM, 23, FALSE) / VLOOKUP("buildings|SO2|Asthma symptoms cough", US_national_yearly!$D:$AM, 10, FALSE), 1)</f>
        <v>1.4133171681960295E-3</v>
      </c>
      <c r="P6" s="7">
        <f>$B6 * IFERROR(VLOOKUP("buildings|SO2|Asthma symptoms cough", US_national_yearly!$D:$AM, 24, FALSE) / VLOOKUP("buildings|SO2|Asthma symptoms cough", US_national_yearly!$D:$AM, 10, FALSE), 1)</f>
        <v>1.4133171681960295E-3</v>
      </c>
      <c r="Q6" s="7">
        <f>$B6 * IFERROR(VLOOKUP("buildings|SO2|Asthma symptoms cough", US_national_yearly!$D:$AM, 25, FALSE) / VLOOKUP("buildings|SO2|Asthma symptoms cough", US_national_yearly!$D:$AM, 10, FALSE), 1)</f>
        <v>1.4133171681960295E-3</v>
      </c>
      <c r="R6" s="7">
        <f>$B6 * IFERROR(VLOOKUP("buildings|SO2|Asthma symptoms cough", US_national_yearly!$D:$AM, 26, FALSE) / VLOOKUP("buildings|SO2|Asthma symptoms cough", US_national_yearly!$D:$AM, 10, FALSE), 1)</f>
        <v>1.4133171681960295E-3</v>
      </c>
      <c r="S6" s="7">
        <f>$B6 * IFERROR(VLOOKUP("buildings|SO2|Asthma symptoms cough", US_national_yearly!$D:$AM, 27, FALSE) / VLOOKUP("buildings|SO2|Asthma symptoms cough", US_national_yearly!$D:$AM, 10, FALSE), 1)</f>
        <v>1.4133171681960295E-3</v>
      </c>
      <c r="T6" s="7">
        <f>$B6 * IFERROR(VLOOKUP("buildings|SO2|Asthma symptoms cough", US_national_yearly!$D:$AM, 28, FALSE) / VLOOKUP("buildings|SO2|Asthma symptoms cough", US_national_yearly!$D:$AM, 10, FALSE), 1)</f>
        <v>1.4133171681960295E-3</v>
      </c>
      <c r="U6" s="7">
        <f>$B6 * IFERROR(VLOOKUP("buildings|SO2|Asthma symptoms cough", US_national_yearly!$D:$AM, 29, FALSE) / VLOOKUP("buildings|SO2|Asthma symptoms cough", US_national_yearly!$D:$AM, 10, FALSE), 1)</f>
        <v>1.4133171681960295E-3</v>
      </c>
      <c r="V6" s="7">
        <f>$B6 * IFERROR(VLOOKUP("buildings|SO2|Asthma symptoms cough", US_national_yearly!$D:$AM, 30, FALSE) / VLOOKUP("buildings|SO2|Asthma symptoms cough", US_national_yearly!$D:$AM, 10, FALSE), 1)</f>
        <v>1.4133171681960295E-3</v>
      </c>
      <c r="W6" s="7">
        <f>$B6 * IFERROR(VLOOKUP("buildings|SO2|Asthma symptoms cough", US_national_yearly!$D:$AM, 31, FALSE) / VLOOKUP("buildings|SO2|Asthma symptoms cough", US_national_yearly!$D:$AM, 10, FALSE), 1)</f>
        <v>1.4133171681960295E-3</v>
      </c>
      <c r="X6" s="7">
        <f>$B6 * IFERROR(VLOOKUP("buildings|SO2|Asthma symptoms cough", US_national_yearly!$D:$AM, 32, FALSE) / VLOOKUP("buildings|SO2|Asthma symptoms cough", US_national_yearly!$D:$AM, 10, FALSE), 1)</f>
        <v>1.4133171681960295E-3</v>
      </c>
      <c r="Y6" s="7">
        <f>$B6 * IFERROR(VLOOKUP("buildings|SO2|Asthma symptoms cough", US_national_yearly!$D:$AM, 33, FALSE) / VLOOKUP("buildings|SO2|Asthma symptoms cough", US_national_yearly!$D:$AM, 10, FALSE), 1)</f>
        <v>1.4133171681960295E-3</v>
      </c>
      <c r="Z6" s="7">
        <f>$B6 * IFERROR(VLOOKUP("buildings|SO2|Asthma symptoms cough", US_national_yearly!$D:$AM, 34, FALSE) / VLOOKUP("buildings|SO2|Asthma symptoms cough", US_national_yearly!$D:$AM, 10, FALSE), 1)</f>
        <v>1.4133171681960295E-3</v>
      </c>
      <c r="AA6" s="7">
        <f>$B6 * IFERROR(VLOOKUP("buildings|SO2|Asthma symptoms cough", US_national_yearly!$D:$AM, 35, FALSE) / VLOOKUP("buildings|SO2|Asthma symptoms cough", US_national_yearly!$D:$AM, 10, FALSE), 1)</f>
        <v>1.4133171681960295E-3</v>
      </c>
      <c r="AB6" s="7">
        <f>$B6 * IFERROR(VLOOKUP("buildings|SO2|Asthma symptoms cough", US_national_yearly!$D:$AM, 36, FALSE) / VLOOKUP("buildings|SO2|Asthma symptoms cough", US_national_yearly!$D:$AM, 10, FALSE), 1)</f>
        <v>1.4133171681960295E-3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1.9032390710264982E-3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1.9032390710264982E-3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1.9032390710264982E-3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1.9032390710264982E-3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1.9032390710264982E-3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1.9032390710264982E-3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1.9032390710264982E-3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1.9032390710264982E-3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1.9032390710264982E-3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1.9032390710264982E-3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1.9032390710264982E-3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1.9032390710264982E-3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1.9032390710264982E-3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1.9032390710264982E-3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1.9032390710264982E-3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1.9032390710264982E-3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1.9032390710264982E-3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1.9032390710264982E-3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1.9032390710264982E-3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1.9032390710264982E-3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1.9032390710264982E-3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1.9032390710264982E-3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1.9032390710264982E-3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1.9032390710264982E-3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1.9032390710264982E-3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1.9032390710264982E-3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1.9032390710264982E-3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2.9078181823968515E-3</v>
      </c>
      <c r="C8" s="7">
        <f>$B8 * IFERROR(VLOOKUP("buildings|SO2|Asthma symptoms wheeze", US_national_yearly!$D:$AM, 11, FALSE) / VLOOKUP("buildings|SO2|Asthma symptoms wheeze", US_national_yearly!$D:$AM, 10, FALSE), 1)</f>
        <v>2.9078181823968515E-3</v>
      </c>
      <c r="D8" s="7">
        <f>$B8 * IFERROR(VLOOKUP("buildings|SO2|Asthma symptoms wheeze", US_national_yearly!$D:$AM, 12, FALSE) / VLOOKUP("buildings|SO2|Asthma symptoms wheeze", US_national_yearly!$D:$AM, 10, FALSE), 1)</f>
        <v>2.9078181823968515E-3</v>
      </c>
      <c r="E8" s="7">
        <f>$B8 * IFERROR(VLOOKUP("buildings|SO2|Asthma symptoms wheeze", US_national_yearly!$D:$AM, 13, FALSE) / VLOOKUP("buildings|SO2|Asthma symptoms wheeze", US_national_yearly!$D:$AM, 10, FALSE), 1)</f>
        <v>2.9078181823968515E-3</v>
      </c>
      <c r="F8" s="7">
        <f>$B8 * IFERROR(VLOOKUP("buildings|SO2|Asthma symptoms wheeze", US_national_yearly!$D:$AM, 14, FALSE) / VLOOKUP("buildings|SO2|Asthma symptoms wheeze", US_national_yearly!$D:$AM, 10, FALSE), 1)</f>
        <v>2.9078181823968515E-3</v>
      </c>
      <c r="G8" s="7">
        <f>$B8 * IFERROR(VLOOKUP("buildings|SO2|Asthma symptoms wheeze", US_national_yearly!$D:$AM, 15, FALSE) / VLOOKUP("buildings|SO2|Asthma symptoms wheeze", US_national_yearly!$D:$AM, 10, FALSE), 1)</f>
        <v>2.9078181823968515E-3</v>
      </c>
      <c r="H8" s="7">
        <f>$B8 * IFERROR(VLOOKUP("buildings|SO2|Asthma symptoms wheeze", US_national_yearly!$D:$AM, 16, FALSE) / VLOOKUP("buildings|SO2|Asthma symptoms wheeze", US_national_yearly!$D:$AM, 10, FALSE), 1)</f>
        <v>2.9078181823968515E-3</v>
      </c>
      <c r="I8" s="7">
        <f>$B8 * IFERROR(VLOOKUP("buildings|SO2|Asthma symptoms wheeze", US_national_yearly!$D:$AM, 17, FALSE) / VLOOKUP("buildings|SO2|Asthma symptoms wheeze", US_national_yearly!$D:$AM, 10, FALSE), 1)</f>
        <v>2.9078181823968515E-3</v>
      </c>
      <c r="J8" s="7">
        <f>$B8 * IFERROR(VLOOKUP("buildings|SO2|Asthma symptoms wheeze", US_national_yearly!$D:$AM, 18, FALSE) / VLOOKUP("buildings|SO2|Asthma symptoms wheeze", US_national_yearly!$D:$AM, 10, FALSE), 1)</f>
        <v>2.9078181823968515E-3</v>
      </c>
      <c r="K8" s="7">
        <f>$B8 * IFERROR(VLOOKUP("buildings|SO2|Asthma symptoms wheeze", US_national_yearly!$D:$AM, 19, FALSE) / VLOOKUP("buildings|SO2|Asthma symptoms wheeze", US_national_yearly!$D:$AM, 10, FALSE), 1)</f>
        <v>2.9078181823968515E-3</v>
      </c>
      <c r="L8" s="7">
        <f>$B8 * IFERROR(VLOOKUP("buildings|SO2|Asthma symptoms wheeze", US_national_yearly!$D:$AM, 20, FALSE) / VLOOKUP("buildings|SO2|Asthma symptoms wheeze", US_national_yearly!$D:$AM, 10, FALSE), 1)</f>
        <v>2.9078181823968515E-3</v>
      </c>
      <c r="M8" s="7">
        <f>$B8 * IFERROR(VLOOKUP("buildings|SO2|Asthma symptoms wheeze", US_national_yearly!$D:$AM, 21, FALSE) / VLOOKUP("buildings|SO2|Asthma symptoms wheeze", US_national_yearly!$D:$AM, 10, FALSE), 1)</f>
        <v>2.9078181823968515E-3</v>
      </c>
      <c r="N8" s="7">
        <f>$B8 * IFERROR(VLOOKUP("buildings|SO2|Asthma symptoms wheeze", US_national_yearly!$D:$AM, 22, FALSE) / VLOOKUP("buildings|SO2|Asthma symptoms wheeze", US_national_yearly!$D:$AM, 10, FALSE), 1)</f>
        <v>2.9078181823968515E-3</v>
      </c>
      <c r="O8" s="7">
        <f>$B8 * IFERROR(VLOOKUP("buildings|SO2|Asthma symptoms wheeze", US_national_yearly!$D:$AM, 23, FALSE) / VLOOKUP("buildings|SO2|Asthma symptoms wheeze", US_national_yearly!$D:$AM, 10, FALSE), 1)</f>
        <v>2.9078181823968515E-3</v>
      </c>
      <c r="P8" s="7">
        <f>$B8 * IFERROR(VLOOKUP("buildings|SO2|Asthma symptoms wheeze", US_national_yearly!$D:$AM, 24, FALSE) / VLOOKUP("buildings|SO2|Asthma symptoms wheeze", US_national_yearly!$D:$AM, 10, FALSE), 1)</f>
        <v>2.9078181823968515E-3</v>
      </c>
      <c r="Q8" s="7">
        <f>$B8 * IFERROR(VLOOKUP("buildings|SO2|Asthma symptoms wheeze", US_national_yearly!$D:$AM, 25, FALSE) / VLOOKUP("buildings|SO2|Asthma symptoms wheeze", US_national_yearly!$D:$AM, 10, FALSE), 1)</f>
        <v>2.9078181823968515E-3</v>
      </c>
      <c r="R8" s="7">
        <f>$B8 * IFERROR(VLOOKUP("buildings|SO2|Asthma symptoms wheeze", US_national_yearly!$D:$AM, 26, FALSE) / VLOOKUP("buildings|SO2|Asthma symptoms wheeze", US_national_yearly!$D:$AM, 10, FALSE), 1)</f>
        <v>2.9078181823968515E-3</v>
      </c>
      <c r="S8" s="7">
        <f>$B8 * IFERROR(VLOOKUP("buildings|SO2|Asthma symptoms wheeze", US_national_yearly!$D:$AM, 27, FALSE) / VLOOKUP("buildings|SO2|Asthma symptoms wheeze", US_national_yearly!$D:$AM, 10, FALSE), 1)</f>
        <v>2.9078181823968515E-3</v>
      </c>
      <c r="T8" s="7">
        <f>$B8 * IFERROR(VLOOKUP("buildings|SO2|Asthma symptoms wheeze", US_national_yearly!$D:$AM, 28, FALSE) / VLOOKUP("buildings|SO2|Asthma symptoms wheeze", US_national_yearly!$D:$AM, 10, FALSE), 1)</f>
        <v>2.9078181823968515E-3</v>
      </c>
      <c r="U8" s="7">
        <f>$B8 * IFERROR(VLOOKUP("buildings|SO2|Asthma symptoms wheeze", US_national_yearly!$D:$AM, 29, FALSE) / VLOOKUP("buildings|SO2|Asthma symptoms wheeze", US_national_yearly!$D:$AM, 10, FALSE), 1)</f>
        <v>2.9078181823968515E-3</v>
      </c>
      <c r="V8" s="7">
        <f>$B8 * IFERROR(VLOOKUP("buildings|SO2|Asthma symptoms wheeze", US_national_yearly!$D:$AM, 30, FALSE) / VLOOKUP("buildings|SO2|Asthma symptoms wheeze", US_national_yearly!$D:$AM, 10, FALSE), 1)</f>
        <v>2.9078181823968515E-3</v>
      </c>
      <c r="W8" s="7">
        <f>$B8 * IFERROR(VLOOKUP("buildings|SO2|Asthma symptoms wheeze", US_national_yearly!$D:$AM, 31, FALSE) / VLOOKUP("buildings|SO2|Asthma symptoms wheeze", US_national_yearly!$D:$AM, 10, FALSE), 1)</f>
        <v>2.9078181823968515E-3</v>
      </c>
      <c r="X8" s="7">
        <f>$B8 * IFERROR(VLOOKUP("buildings|SO2|Asthma symptoms wheeze", US_national_yearly!$D:$AM, 32, FALSE) / VLOOKUP("buildings|SO2|Asthma symptoms wheeze", US_national_yearly!$D:$AM, 10, FALSE), 1)</f>
        <v>2.9078181823968515E-3</v>
      </c>
      <c r="Y8" s="7">
        <f>$B8 * IFERROR(VLOOKUP("buildings|SO2|Asthma symptoms wheeze", US_national_yearly!$D:$AM, 33, FALSE) / VLOOKUP("buildings|SO2|Asthma symptoms wheeze", US_national_yearly!$D:$AM, 10, FALSE), 1)</f>
        <v>2.9078181823968515E-3</v>
      </c>
      <c r="Z8" s="7">
        <f>$B8 * IFERROR(VLOOKUP("buildings|SO2|Asthma symptoms wheeze", US_national_yearly!$D:$AM, 34, FALSE) / VLOOKUP("buildings|SO2|Asthma symptoms wheeze", US_national_yearly!$D:$AM, 10, FALSE), 1)</f>
        <v>2.9078181823968515E-3</v>
      </c>
      <c r="AA8" s="7">
        <f>$B8 * IFERROR(VLOOKUP("buildings|SO2|Asthma symptoms wheeze", US_national_yearly!$D:$AM, 35, FALSE) / VLOOKUP("buildings|SO2|Asthma symptoms wheeze", US_national_yearly!$D:$AM, 10, FALSE), 1)</f>
        <v>2.9078181823968515E-3</v>
      </c>
      <c r="AB8" s="7">
        <f>$B8 * IFERROR(VLOOKUP("buildings|SO2|Asthma symptoms wheeze", US_national_yearly!$D:$AM, 36, FALSE) / VLOOKUP("buildings|SO2|Asthma symptoms wheeze", US_national_yearly!$D:$AM, 10, FALSE), 1)</f>
        <v>2.9078181823968515E-3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3.1526834664741439E-5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3.1713044225689374E-5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3.1899253786637302E-5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3.2085463347585237E-5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3.2271672908533158E-5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3.2474617870168706E-5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3.2677562831804247E-5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3.2877283062983843E-5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3.3077003294163447E-5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3.327672352534305E-5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3.3476443756522647E-5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3.367616398770225E-5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3.3821992818300296E-5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3.3967821648898342E-5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3.4113650479496381E-5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3.4259479310094427E-5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3.4405308140692473E-5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3.4544357642448371E-5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3.4683407144204276E-5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3.4822456645960181E-5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3.4961506147716078E-5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3.5100555649471983E-5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3.523268895606586E-5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3.5364822262659744E-5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3.5496955569253621E-5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3.5629088875847498E-5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3.5761222182441389E-5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1.8509166876513154E-4</v>
      </c>
      <c r="C13" s="7">
        <f>$B13 * IFERROR(VLOOKUP("buildings|SO2|Non-fatal heart attacks", US_national_yearly!$D:$AM, 11, FALSE) / VLOOKUP("buildings|SO2|Non-fatal heart attacks", US_national_yearly!$D:$AM, 10, FALSE), 1)</f>
        <v>1.9052704459910974E-4</v>
      </c>
      <c r="D13" s="7">
        <f>$B13 * IFERROR(VLOOKUP("buildings|SO2|Non-fatal heart attacks", US_national_yearly!$D:$AM, 12, FALSE) / VLOOKUP("buildings|SO2|Non-fatal heart attacks", US_national_yearly!$D:$AM, 10, FALSE), 1)</f>
        <v>1.9596242043308791E-4</v>
      </c>
      <c r="E13" s="7">
        <f>$B13 * IFERROR(VLOOKUP("buildings|SO2|Non-fatal heart attacks", US_national_yearly!$D:$AM, 13, FALSE) / VLOOKUP("buildings|SO2|Non-fatal heart attacks", US_national_yearly!$D:$AM, 10, FALSE), 1)</f>
        <v>2.0139779626706609E-4</v>
      </c>
      <c r="F13" s="7">
        <f>$B13 * IFERROR(VLOOKUP("buildings|SO2|Non-fatal heart attacks", US_national_yearly!$D:$AM, 14, FALSE) / VLOOKUP("buildings|SO2|Non-fatal heart attacks", US_national_yearly!$D:$AM, 10, FALSE), 1)</f>
        <v>2.0683317210104429E-4</v>
      </c>
      <c r="G13" s="7">
        <f>$B13 * IFERROR(VLOOKUP("buildings|SO2|Non-fatal heart attacks", US_national_yearly!$D:$AM, 15, FALSE) / VLOOKUP("buildings|SO2|Non-fatal heart attacks", US_national_yearly!$D:$AM, 10, FALSE), 1)</f>
        <v>2.1195960813148799E-4</v>
      </c>
      <c r="H13" s="7">
        <f>$B13 * IFERROR(VLOOKUP("buildings|SO2|Non-fatal heart attacks", US_national_yearly!$D:$AM, 16, FALSE) / VLOOKUP("buildings|SO2|Non-fatal heart attacks", US_national_yearly!$D:$AM, 10, FALSE), 1)</f>
        <v>2.1708604416193178E-4</v>
      </c>
      <c r="I13" s="7">
        <f>$B13 * IFERROR(VLOOKUP("buildings|SO2|Non-fatal heart attacks", US_national_yearly!$D:$AM, 17, FALSE) / VLOOKUP("buildings|SO2|Non-fatal heart attacks", US_national_yearly!$D:$AM, 10, FALSE), 1)</f>
        <v>2.2121248536693402E-4</v>
      </c>
      <c r="J13" s="7">
        <f>$B13 * IFERROR(VLOOKUP("buildings|SO2|Non-fatal heart attacks", US_national_yearly!$D:$AM, 18, FALSE) / VLOOKUP("buildings|SO2|Non-fatal heart attacks", US_national_yearly!$D:$AM, 10, FALSE), 1)</f>
        <v>2.2533892657193631E-4</v>
      </c>
      <c r="K13" s="7">
        <f>$B13 * IFERROR(VLOOKUP("buildings|SO2|Non-fatal heart attacks", US_national_yearly!$D:$AM, 19, FALSE) / VLOOKUP("buildings|SO2|Non-fatal heart attacks", US_national_yearly!$D:$AM, 10, FALSE), 1)</f>
        <v>2.2946536777693861E-4</v>
      </c>
      <c r="L13" s="7">
        <f>$B13 * IFERROR(VLOOKUP("buildings|SO2|Non-fatal heart attacks", US_national_yearly!$D:$AM, 20, FALSE) / VLOOKUP("buildings|SO2|Non-fatal heart attacks", US_national_yearly!$D:$AM, 10, FALSE), 1)</f>
        <v>2.3359180898194096E-4</v>
      </c>
      <c r="M13" s="7">
        <f>$B13 * IFERROR(VLOOKUP("buildings|SO2|Non-fatal heart attacks", US_national_yearly!$D:$AM, 21, FALSE) / VLOOKUP("buildings|SO2|Non-fatal heart attacks", US_national_yearly!$D:$AM, 10, FALSE), 1)</f>
        <v>2.3771825018694326E-4</v>
      </c>
      <c r="N13" s="7">
        <f>$B13 * IFERROR(VLOOKUP("buildings|SO2|Non-fatal heart attacks", US_national_yearly!$D:$AM, 22, FALSE) / VLOOKUP("buildings|SO2|Non-fatal heart attacks", US_national_yearly!$D:$AM, 10, FALSE), 1)</f>
        <v>2.403965023500578E-4</v>
      </c>
      <c r="O13" s="7">
        <f>$B13 * IFERROR(VLOOKUP("buildings|SO2|Non-fatal heart attacks", US_national_yearly!$D:$AM, 23, FALSE) / VLOOKUP("buildings|SO2|Non-fatal heart attacks", US_national_yearly!$D:$AM, 10, FALSE), 1)</f>
        <v>2.4307475451317237E-4</v>
      </c>
      <c r="P13" s="7">
        <f>$B13 * IFERROR(VLOOKUP("buildings|SO2|Non-fatal heart attacks", US_national_yearly!$D:$AM, 24, FALSE) / VLOOKUP("buildings|SO2|Non-fatal heart attacks", US_national_yearly!$D:$AM, 10, FALSE), 1)</f>
        <v>2.4575300667628689E-4</v>
      </c>
      <c r="Q13" s="7">
        <f>$B13 * IFERROR(VLOOKUP("buildings|SO2|Non-fatal heart attacks", US_national_yearly!$D:$AM, 25, FALSE) / VLOOKUP("buildings|SO2|Non-fatal heart attacks", US_national_yearly!$D:$AM, 10, FALSE), 1)</f>
        <v>2.4843125883940143E-4</v>
      </c>
      <c r="R13" s="7">
        <f>$B13 * IFERROR(VLOOKUP("buildings|SO2|Non-fatal heart attacks", US_national_yearly!$D:$AM, 26, FALSE) / VLOOKUP("buildings|SO2|Non-fatal heart attacks", US_national_yearly!$D:$AM, 10, FALSE), 1)</f>
        <v>2.5110951100251603E-4</v>
      </c>
      <c r="S13" s="7">
        <f>$B13 * IFERROR(VLOOKUP("buildings|SO2|Non-fatal heart attacks", US_national_yearly!$D:$AM, 27, FALSE) / VLOOKUP("buildings|SO2|Non-fatal heart attacks", US_national_yearly!$D:$AM, 10, FALSE), 1)</f>
        <v>2.5250808989678644E-4</v>
      </c>
      <c r="T13" s="7">
        <f>$B13 * IFERROR(VLOOKUP("buildings|SO2|Non-fatal heart attacks", US_national_yearly!$D:$AM, 28, FALSE) / VLOOKUP("buildings|SO2|Non-fatal heart attacks", US_national_yearly!$D:$AM, 10, FALSE), 1)</f>
        <v>2.5390666879105691E-4</v>
      </c>
      <c r="U13" s="7">
        <f>$B13 * IFERROR(VLOOKUP("buildings|SO2|Non-fatal heart attacks", US_national_yearly!$D:$AM, 29, FALSE) / VLOOKUP("buildings|SO2|Non-fatal heart attacks", US_national_yearly!$D:$AM, 10, FALSE), 1)</f>
        <v>2.5530524768532727E-4</v>
      </c>
      <c r="V13" s="7">
        <f>$B13 * IFERROR(VLOOKUP("buildings|SO2|Non-fatal heart attacks", US_national_yearly!$D:$AM, 30, FALSE) / VLOOKUP("buildings|SO2|Non-fatal heart attacks", US_national_yearly!$D:$AM, 10, FALSE), 1)</f>
        <v>2.5670382657959774E-4</v>
      </c>
      <c r="W13" s="7">
        <f>$B13 * IFERROR(VLOOKUP("buildings|SO2|Non-fatal heart attacks", US_national_yearly!$D:$AM, 31, FALSE) / VLOOKUP("buildings|SO2|Non-fatal heart attacks", US_national_yearly!$D:$AM, 10, FALSE), 1)</f>
        <v>2.5810240547386815E-4</v>
      </c>
      <c r="X13" s="7">
        <f>$B13 * IFERROR(VLOOKUP("buildings|SO2|Non-fatal heart attacks", US_national_yearly!$D:$AM, 32, FALSE) / VLOOKUP("buildings|SO2|Non-fatal heart attacks", US_national_yearly!$D:$AM, 10, FALSE), 1)</f>
        <v>2.5915871495877795E-4</v>
      </c>
      <c r="Y13" s="7">
        <f>$B13 * IFERROR(VLOOKUP("buildings|SO2|Non-fatal heart attacks", US_national_yearly!$D:$AM, 33, FALSE) / VLOOKUP("buildings|SO2|Non-fatal heart attacks", US_national_yearly!$D:$AM, 10, FALSE), 1)</f>
        <v>2.602150244436878E-4</v>
      </c>
      <c r="Z13" s="7">
        <f>$B13 * IFERROR(VLOOKUP("buildings|SO2|Non-fatal heart attacks", US_national_yearly!$D:$AM, 34, FALSE) / VLOOKUP("buildings|SO2|Non-fatal heart attacks", US_national_yearly!$D:$AM, 10, FALSE), 1)</f>
        <v>2.6127133392859749E-4</v>
      </c>
      <c r="AA13" s="7">
        <f>$B13 * IFERROR(VLOOKUP("buildings|SO2|Non-fatal heart attacks", US_national_yearly!$D:$AM, 35, FALSE) / VLOOKUP("buildings|SO2|Non-fatal heart attacks", US_national_yearly!$D:$AM, 10, FALSE), 1)</f>
        <v>2.6232764341350734E-4</v>
      </c>
      <c r="AB13" s="7">
        <f>$B13 * IFERROR(VLOOKUP("buildings|SO2|Non-fatal heart attacks", US_national_yearly!$D:$AM, 36, FALSE) / VLOOKUP("buildings|SO2|Non-fatal heart attacks", US_national_yearly!$D:$AM, 10, FALSE), 1)</f>
        <v>2.6338395289841708E-4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0.15419227183016748</v>
      </c>
      <c r="C14" s="7">
        <f>$B14 * IFERROR(VLOOKUP("buildings|SO2|Minor restricted activity days", US_national_yearly!$D:$AM, 11, FALSE) / VLOOKUP("buildings|SO2|Minor restricted activity days", US_national_yearly!$D:$AM, 10, FALSE), 1)</f>
        <v>0.15458260144372143</v>
      </c>
      <c r="D14" s="7">
        <f>$B14 * IFERROR(VLOOKUP("buildings|SO2|Minor restricted activity days", US_national_yearly!$D:$AM, 12, FALSE) / VLOOKUP("buildings|SO2|Minor restricted activity days", US_national_yearly!$D:$AM, 10, FALSE), 1)</f>
        <v>0.15497293105727541</v>
      </c>
      <c r="E14" s="7">
        <f>$B14 * IFERROR(VLOOKUP("buildings|SO2|Minor restricted activity days", US_national_yearly!$D:$AM, 13, FALSE) / VLOOKUP("buildings|SO2|Minor restricted activity days", US_national_yearly!$D:$AM, 10, FALSE), 1)</f>
        <v>0.1553632606708294</v>
      </c>
      <c r="F14" s="7">
        <f>$B14 * IFERROR(VLOOKUP("buildings|SO2|Minor restricted activity days", US_national_yearly!$D:$AM, 14, FALSE) / VLOOKUP("buildings|SO2|Minor restricted activity days", US_national_yearly!$D:$AM, 10, FALSE), 1)</f>
        <v>0.15575359028438335</v>
      </c>
      <c r="G14" s="7">
        <f>$B14 * IFERROR(VLOOKUP("buildings|SO2|Minor restricted activity days", US_national_yearly!$D:$AM, 15, FALSE) / VLOOKUP("buildings|SO2|Minor restricted activity days", US_national_yearly!$D:$AM, 10, FALSE), 1)</f>
        <v>0.1563275294742138</v>
      </c>
      <c r="H14" s="7">
        <f>$B14 * IFERROR(VLOOKUP("buildings|SO2|Minor restricted activity days", US_national_yearly!$D:$AM, 16, FALSE) / VLOOKUP("buildings|SO2|Minor restricted activity days", US_national_yearly!$D:$AM, 10, FALSE), 1)</f>
        <v>0.15690146866404428</v>
      </c>
      <c r="I14" s="7">
        <f>$B14 * IFERROR(VLOOKUP("buildings|SO2|Minor restricted activity days", US_national_yearly!$D:$AM, 17, FALSE) / VLOOKUP("buildings|SO2|Minor restricted activity days", US_national_yearly!$D:$AM, 10, FALSE), 1)</f>
        <v>0.15787894486302437</v>
      </c>
      <c r="J14" s="7">
        <f>$B14 * IFERROR(VLOOKUP("buildings|SO2|Minor restricted activity days", US_national_yearly!$D:$AM, 18, FALSE) / VLOOKUP("buildings|SO2|Minor restricted activity days", US_national_yearly!$D:$AM, 10, FALSE), 1)</f>
        <v>0.15885642106200451</v>
      </c>
      <c r="K14" s="7">
        <f>$B14 * IFERROR(VLOOKUP("buildings|SO2|Minor restricted activity days", US_national_yearly!$D:$AM, 19, FALSE) / VLOOKUP("buildings|SO2|Minor restricted activity days", US_national_yearly!$D:$AM, 10, FALSE), 1)</f>
        <v>0.15983389726098463</v>
      </c>
      <c r="L14" s="7">
        <f>$B14 * IFERROR(VLOOKUP("buildings|SO2|Minor restricted activity days", US_national_yearly!$D:$AM, 20, FALSE) / VLOOKUP("buildings|SO2|Minor restricted activity days", US_national_yearly!$D:$AM, 10, FALSE), 1)</f>
        <v>0.16081137345996474</v>
      </c>
      <c r="M14" s="7">
        <f>$B14 * IFERROR(VLOOKUP("buildings|SO2|Minor restricted activity days", US_national_yearly!$D:$AM, 21, FALSE) / VLOOKUP("buildings|SO2|Minor restricted activity days", US_national_yearly!$D:$AM, 10, FALSE), 1)</f>
        <v>0.16178884965894486</v>
      </c>
      <c r="N14" s="7">
        <f>$B14 * IFERROR(VLOOKUP("buildings|SO2|Minor restricted activity days", US_national_yearly!$D:$AM, 22, FALSE) / VLOOKUP("buildings|SO2|Minor restricted activity days", US_national_yearly!$D:$AM, 10, FALSE), 1)</f>
        <v>0.16312549699546966</v>
      </c>
      <c r="O14" s="7">
        <f>$B14 * IFERROR(VLOOKUP("buildings|SO2|Minor restricted activity days", US_national_yearly!$D:$AM, 23, FALSE) / VLOOKUP("buildings|SO2|Minor restricted activity days", US_national_yearly!$D:$AM, 10, FALSE), 1)</f>
        <v>0.16446214433199449</v>
      </c>
      <c r="P14" s="7">
        <f>$B14 * IFERROR(VLOOKUP("buildings|SO2|Minor restricted activity days", US_national_yearly!$D:$AM, 24, FALSE) / VLOOKUP("buildings|SO2|Minor restricted activity days", US_national_yearly!$D:$AM, 10, FALSE), 1)</f>
        <v>0.16579879166851927</v>
      </c>
      <c r="Q14" s="7">
        <f>$B14 * IFERROR(VLOOKUP("buildings|SO2|Minor restricted activity days", US_national_yearly!$D:$AM, 25, FALSE) / VLOOKUP("buildings|SO2|Minor restricted activity days", US_national_yearly!$D:$AM, 10, FALSE), 1)</f>
        <v>0.16713543900504407</v>
      </c>
      <c r="R14" s="7">
        <f>$B14 * IFERROR(VLOOKUP("buildings|SO2|Minor restricted activity days", US_national_yearly!$D:$AM, 26, FALSE) / VLOOKUP("buildings|SO2|Minor restricted activity days", US_national_yearly!$D:$AM, 10, FALSE), 1)</f>
        <v>0.16847208634156891</v>
      </c>
      <c r="S14" s="7">
        <f>$B14 * IFERROR(VLOOKUP("buildings|SO2|Minor restricted activity days", US_national_yearly!$D:$AM, 27, FALSE) / VLOOKUP("buildings|SO2|Minor restricted activity days", US_national_yearly!$D:$AM, 10, FALSE), 1)</f>
        <v>0.16983471152369206</v>
      </c>
      <c r="T14" s="7">
        <f>$B14 * IFERROR(VLOOKUP("buildings|SO2|Minor restricted activity days", US_national_yearly!$D:$AM, 28, FALSE) / VLOOKUP("buildings|SO2|Minor restricted activity days", US_national_yearly!$D:$AM, 10, FALSE), 1)</f>
        <v>0.17119733670581525</v>
      </c>
      <c r="U14" s="7">
        <f>$B14 * IFERROR(VLOOKUP("buildings|SO2|Minor restricted activity days", US_national_yearly!$D:$AM, 29, FALSE) / VLOOKUP("buildings|SO2|Minor restricted activity days", US_national_yearly!$D:$AM, 10, FALSE), 1)</f>
        <v>0.17255996188793843</v>
      </c>
      <c r="V14" s="7">
        <f>$B14 * IFERROR(VLOOKUP("buildings|SO2|Minor restricted activity days", US_national_yearly!$D:$AM, 30, FALSE) / VLOOKUP("buildings|SO2|Minor restricted activity days", US_national_yearly!$D:$AM, 10, FALSE), 1)</f>
        <v>0.17392258707006159</v>
      </c>
      <c r="W14" s="7">
        <f>$B14 * IFERROR(VLOOKUP("buildings|SO2|Minor restricted activity days", US_national_yearly!$D:$AM, 31, FALSE) / VLOOKUP("buildings|SO2|Minor restricted activity days", US_national_yearly!$D:$AM, 10, FALSE), 1)</f>
        <v>0.1752852122521848</v>
      </c>
      <c r="X14" s="7">
        <f>$B14 * IFERROR(VLOOKUP("buildings|SO2|Minor restricted activity days", US_national_yearly!$D:$AM, 32, FALSE) / VLOOKUP("buildings|SO2|Minor restricted activity days", US_national_yearly!$D:$AM, 10, FALSE), 1)</f>
        <v>0.1764835622434153</v>
      </c>
      <c r="Y14" s="7">
        <f>$B14 * IFERROR(VLOOKUP("buildings|SO2|Minor restricted activity days", US_national_yearly!$D:$AM, 33, FALSE) / VLOOKUP("buildings|SO2|Minor restricted activity days", US_national_yearly!$D:$AM, 10, FALSE), 1)</f>
        <v>0.17768191223464583</v>
      </c>
      <c r="Z14" s="7">
        <f>$B14 * IFERROR(VLOOKUP("buildings|SO2|Minor restricted activity days", US_national_yearly!$D:$AM, 34, FALSE) / VLOOKUP("buildings|SO2|Minor restricted activity days", US_national_yearly!$D:$AM, 10, FALSE), 1)</f>
        <v>0.1788802622258763</v>
      </c>
      <c r="AA14" s="7">
        <f>$B14 * IFERROR(VLOOKUP("buildings|SO2|Minor restricted activity days", US_national_yearly!$D:$AM, 35, FALSE) / VLOOKUP("buildings|SO2|Minor restricted activity days", US_national_yearly!$D:$AM, 10, FALSE), 1)</f>
        <v>0.18007861221710683</v>
      </c>
      <c r="AB14" s="7">
        <f>$B14 * IFERROR(VLOOKUP("buildings|SO2|Minor restricted activity days", US_national_yearly!$D:$AM, 36, FALSE) / VLOOKUP("buildings|SO2|Minor restricted activity days", US_national_yearly!$D:$AM, 10, FALSE), 1)</f>
        <v>0.18127696220833733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2.612954308780846E-2</v>
      </c>
      <c r="C15" s="7">
        <f>$B15 * IFERROR(VLOOKUP("buildings|SO2|Work loss days", US_national_yearly!$D:$AM, 11, FALSE) / VLOOKUP("buildings|SO2|Work loss days", US_national_yearly!$D:$AM, 10, FALSE), 1)</f>
        <v>2.6214437547772661E-2</v>
      </c>
      <c r="D15" s="7">
        <f>$B15 * IFERROR(VLOOKUP("buildings|SO2|Work loss days", US_national_yearly!$D:$AM, 12, FALSE) / VLOOKUP("buildings|SO2|Work loss days", US_national_yearly!$D:$AM, 10, FALSE), 1)</f>
        <v>2.6299332007736858E-2</v>
      </c>
      <c r="E15" s="7">
        <f>$B15 * IFERROR(VLOOKUP("buildings|SO2|Work loss days", US_national_yearly!$D:$AM, 13, FALSE) / VLOOKUP("buildings|SO2|Work loss days", US_national_yearly!$D:$AM, 10, FALSE), 1)</f>
        <v>2.6384226467701059E-2</v>
      </c>
      <c r="F15" s="7">
        <f>$B15 * IFERROR(VLOOKUP("buildings|SO2|Work loss days", US_national_yearly!$D:$AM, 14, FALSE) / VLOOKUP("buildings|SO2|Work loss days", US_national_yearly!$D:$AM, 10, FALSE), 1)</f>
        <v>2.6469120927665252E-2</v>
      </c>
      <c r="G15" s="7">
        <f>$B15 * IFERROR(VLOOKUP("buildings|SO2|Work loss days", US_national_yearly!$D:$AM, 15, FALSE) / VLOOKUP("buildings|SO2|Work loss days", US_national_yearly!$D:$AM, 10, FALSE), 1)</f>
        <v>2.6579997790320838E-2</v>
      </c>
      <c r="H15" s="7">
        <f>$B15 * IFERROR(VLOOKUP("buildings|SO2|Work loss days", US_national_yearly!$D:$AM, 16, FALSE) / VLOOKUP("buildings|SO2|Work loss days", US_national_yearly!$D:$AM, 10, FALSE), 1)</f>
        <v>2.6690874652976433E-2</v>
      </c>
      <c r="I15" s="7">
        <f>$B15 * IFERROR(VLOOKUP("buildings|SO2|Work loss days", US_national_yearly!$D:$AM, 17, FALSE) / VLOOKUP("buildings|SO2|Work loss days", US_national_yearly!$D:$AM, 10, FALSE), 1)</f>
        <v>2.6852982832197093E-2</v>
      </c>
      <c r="J15" s="7">
        <f>$B15 * IFERROR(VLOOKUP("buildings|SO2|Work loss days", US_national_yearly!$D:$AM, 18, FALSE) / VLOOKUP("buildings|SO2|Work loss days", US_national_yearly!$D:$AM, 10, FALSE), 1)</f>
        <v>2.7015091011417747E-2</v>
      </c>
      <c r="K15" s="7">
        <f>$B15 * IFERROR(VLOOKUP("buildings|SO2|Work loss days", US_national_yearly!$D:$AM, 19, FALSE) / VLOOKUP("buildings|SO2|Work loss days", US_national_yearly!$D:$AM, 10, FALSE), 1)</f>
        <v>2.717719919063841E-2</v>
      </c>
      <c r="L15" s="7">
        <f>$B15 * IFERROR(VLOOKUP("buildings|SO2|Work loss days", US_national_yearly!$D:$AM, 20, FALSE) / VLOOKUP("buildings|SO2|Work loss days", US_national_yearly!$D:$AM, 10, FALSE), 1)</f>
        <v>2.7339307369859064E-2</v>
      </c>
      <c r="M15" s="7">
        <f>$B15 * IFERROR(VLOOKUP("buildings|SO2|Work loss days", US_national_yearly!$D:$AM, 21, FALSE) / VLOOKUP("buildings|SO2|Work loss days", US_national_yearly!$D:$AM, 10, FALSE), 1)</f>
        <v>2.750141554907972E-2</v>
      </c>
      <c r="N15" s="7">
        <f>$B15 * IFERROR(VLOOKUP("buildings|SO2|Work loss days", US_national_yearly!$D:$AM, 22, FALSE) / VLOOKUP("buildings|SO2|Work loss days", US_national_yearly!$D:$AM, 10, FALSE), 1)</f>
        <v>2.7704696550282112E-2</v>
      </c>
      <c r="O15" s="7">
        <f>$B15 * IFERROR(VLOOKUP("buildings|SO2|Work loss days", US_national_yearly!$D:$AM, 23, FALSE) / VLOOKUP("buildings|SO2|Work loss days", US_national_yearly!$D:$AM, 10, FALSE), 1)</f>
        <v>2.7907977551484497E-2</v>
      </c>
      <c r="P15" s="7">
        <f>$B15 * IFERROR(VLOOKUP("buildings|SO2|Work loss days", US_national_yearly!$D:$AM, 24, FALSE) / VLOOKUP("buildings|SO2|Work loss days", US_national_yearly!$D:$AM, 10, FALSE), 1)</f>
        <v>2.8111258552686886E-2</v>
      </c>
      <c r="Q15" s="7">
        <f>$B15 * IFERROR(VLOOKUP("buildings|SO2|Work loss days", US_national_yearly!$D:$AM, 25, FALSE) / VLOOKUP("buildings|SO2|Work loss days", US_national_yearly!$D:$AM, 10, FALSE), 1)</f>
        <v>2.8314539553889278E-2</v>
      </c>
      <c r="R15" s="7">
        <f>$B15 * IFERROR(VLOOKUP("buildings|SO2|Work loss days", US_national_yearly!$D:$AM, 26, FALSE) / VLOOKUP("buildings|SO2|Work loss days", US_national_yearly!$D:$AM, 10, FALSE), 1)</f>
        <v>2.8517820555091656E-2</v>
      </c>
      <c r="S15" s="7">
        <f>$B15 * IFERROR(VLOOKUP("buildings|SO2|Work loss days", US_national_yearly!$D:$AM, 27, FALSE) / VLOOKUP("buildings|SO2|Work loss days", US_national_yearly!$D:$AM, 10, FALSE), 1)</f>
        <v>2.8744903239737492E-2</v>
      </c>
      <c r="T15" s="7">
        <f>$B15 * IFERROR(VLOOKUP("buildings|SO2|Work loss days", US_national_yearly!$D:$AM, 28, FALSE) / VLOOKUP("buildings|SO2|Work loss days", US_national_yearly!$D:$AM, 10, FALSE), 1)</f>
        <v>2.8971985924383329E-2</v>
      </c>
      <c r="U15" s="7">
        <f>$B15 * IFERROR(VLOOKUP("buildings|SO2|Work loss days", US_national_yearly!$D:$AM, 29, FALSE) / VLOOKUP("buildings|SO2|Work loss days", US_national_yearly!$D:$AM, 10, FALSE), 1)</f>
        <v>2.9199068609029166E-2</v>
      </c>
      <c r="V15" s="7">
        <f>$B15 * IFERROR(VLOOKUP("buildings|SO2|Work loss days", US_national_yearly!$D:$AM, 30, FALSE) / VLOOKUP("buildings|SO2|Work loss days", US_national_yearly!$D:$AM, 10, FALSE), 1)</f>
        <v>2.9426151293674995E-2</v>
      </c>
      <c r="W15" s="7">
        <f>$B15 * IFERROR(VLOOKUP("buildings|SO2|Work loss days", US_national_yearly!$D:$AM, 31, FALSE) / VLOOKUP("buildings|SO2|Work loss days", US_national_yearly!$D:$AM, 10, FALSE), 1)</f>
        <v>2.9653233978320828E-2</v>
      </c>
      <c r="X15" s="7">
        <f>$B15 * IFERROR(VLOOKUP("buildings|SO2|Work loss days", US_national_yearly!$D:$AM, 32, FALSE) / VLOOKUP("buildings|SO2|Work loss days", US_national_yearly!$D:$AM, 10, FALSE), 1)</f>
        <v>2.9857127461999856E-2</v>
      </c>
      <c r="Y15" s="7">
        <f>$B15 * IFERROR(VLOOKUP("buildings|SO2|Work loss days", US_national_yearly!$D:$AM, 33, FALSE) / VLOOKUP("buildings|SO2|Work loss days", US_national_yearly!$D:$AM, 10, FALSE), 1)</f>
        <v>3.006102094567888E-2</v>
      </c>
      <c r="Z15" s="7">
        <f>$B15 * IFERROR(VLOOKUP("buildings|SO2|Work loss days", US_national_yearly!$D:$AM, 34, FALSE) / VLOOKUP("buildings|SO2|Work loss days", US_national_yearly!$D:$AM, 10, FALSE), 1)</f>
        <v>3.0264914429357897E-2</v>
      </c>
      <c r="AA15" s="7">
        <f>$B15 * IFERROR(VLOOKUP("buildings|SO2|Work loss days", US_national_yearly!$D:$AM, 35, FALSE) / VLOOKUP("buildings|SO2|Work loss days", US_national_yearly!$D:$AM, 10, FALSE), 1)</f>
        <v>3.0468807913036921E-2</v>
      </c>
      <c r="AB15" s="7">
        <f>$B15 * IFERROR(VLOOKUP("buildings|SO2|Work loss days", US_national_yearly!$D:$AM, 36, FALSE) / VLOOKUP("buildings|SO2|Work loss days", US_national_yearly!$D:$AM, 10, FALSE), 1)</f>
        <v>3.0672701396715941E-2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4.413479792757904E-5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4.5469847252215686E-5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4.680489657685234E-5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4.8139945901488993E-5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4.9474995226125646E-5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5.0753892511399368E-5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5.2032789796673089E-5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5.3128802193847377E-5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5.4224814591021652E-5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5.532082698819594E-5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5.6416839385370221E-5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5.7512851782544496E-5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5.824880214193959E-5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5.8984752501334685E-5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5.9720702860729779E-5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6.0456653220124867E-5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6.1192603579519962E-5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6.1579624326780339E-5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6.1966645074040702E-5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6.2353665821301065E-5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6.2740686568561442E-5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6.3127707315821806E-5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6.3387592617646343E-5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6.364747791947088E-5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6.3907363221295431E-5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6.4167248523119968E-5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6.4427133824944505E-5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9.2638941404874237E-3</v>
      </c>
      <c r="C2" s="7">
        <f>$B2 * IFERROR(VLOOKUP("industry|PM25|Premature mortality", US_national_yearly!$D:$AM, 11, FALSE) / VLOOKUP("industry|PM25|Premature mortality", US_national_yearly!$D:$AM, 10, FALSE), 1)</f>
        <v>9.3792598959648015E-3</v>
      </c>
      <c r="D2" s="7">
        <f>$B2 * IFERROR(VLOOKUP("industry|PM25|Premature mortality", US_national_yearly!$D:$AM, 12, FALSE) / VLOOKUP("industry|PM25|Premature mortality", US_national_yearly!$D:$AM, 10, FALSE), 1)</f>
        <v>9.4946256514421758E-3</v>
      </c>
      <c r="E2" s="7">
        <f>$B2 * IFERROR(VLOOKUP("industry|PM25|Premature mortality", US_national_yearly!$D:$AM, 13, FALSE) / VLOOKUP("industry|PM25|Premature mortality", US_national_yearly!$D:$AM, 10, FALSE), 1)</f>
        <v>9.6099914069195536E-3</v>
      </c>
      <c r="F2" s="7">
        <f>$B2 * IFERROR(VLOOKUP("industry|PM25|Premature mortality", US_national_yearly!$D:$AM, 14, FALSE) / VLOOKUP("industry|PM25|Premature mortality", US_national_yearly!$D:$AM, 10, FALSE), 1)</f>
        <v>9.7253571623969279E-3</v>
      </c>
      <c r="G2" s="7">
        <f>$B2 * IFERROR(VLOOKUP("industry|PM25|Premature mortality", US_national_yearly!$D:$AM, 15, FALSE) / VLOOKUP("industry|PM25|Premature mortality", US_national_yearly!$D:$AM, 10, FALSE), 1)</f>
        <v>9.9497994477656809E-3</v>
      </c>
      <c r="H2" s="7">
        <f>$B2 * IFERROR(VLOOKUP("industry|PM25|Premature mortality", US_national_yearly!$D:$AM, 16, FALSE) / VLOOKUP("industry|PM25|Premature mortality", US_national_yearly!$D:$AM, 10, FALSE), 1)</f>
        <v>1.0174241733134432E-2</v>
      </c>
      <c r="I2" s="7">
        <f>$B2 * IFERROR(VLOOKUP("industry|PM25|Premature mortality", US_national_yearly!$D:$AM, 17, FALSE) / VLOOKUP("industry|PM25|Premature mortality", US_national_yearly!$D:$AM, 10, FALSE), 1)</f>
        <v>1.0322440228044566E-2</v>
      </c>
      <c r="J2" s="7">
        <f>$B2 * IFERROR(VLOOKUP("industry|PM25|Premature mortality", US_national_yearly!$D:$AM, 18, FALSE) / VLOOKUP("industry|PM25|Premature mortality", US_national_yearly!$D:$AM, 10, FALSE), 1)</f>
        <v>1.0470638722954699E-2</v>
      </c>
      <c r="K2" s="7">
        <f>$B2 * IFERROR(VLOOKUP("industry|PM25|Premature mortality", US_national_yearly!$D:$AM, 19, FALSE) / VLOOKUP("industry|PM25|Premature mortality", US_national_yearly!$D:$AM, 10, FALSE), 1)</f>
        <v>1.0618837217864831E-2</v>
      </c>
      <c r="L2" s="7">
        <f>$B2 * IFERROR(VLOOKUP("industry|PM25|Premature mortality", US_national_yearly!$D:$AM, 20, FALSE) / VLOOKUP("industry|PM25|Premature mortality", US_national_yearly!$D:$AM, 10, FALSE), 1)</f>
        <v>1.0767035712774964E-2</v>
      </c>
      <c r="M2" s="7">
        <f>$B2 * IFERROR(VLOOKUP("industry|PM25|Premature mortality", US_national_yearly!$D:$AM, 21, FALSE) / VLOOKUP("industry|PM25|Premature mortality", US_national_yearly!$D:$AM, 10, FALSE), 1)</f>
        <v>1.0915234207685098E-2</v>
      </c>
      <c r="N2" s="7">
        <f>$B2 * IFERROR(VLOOKUP("industry|PM25|Premature mortality", US_national_yearly!$D:$AM, 22, FALSE) / VLOOKUP("industry|PM25|Premature mortality", US_national_yearly!$D:$AM, 10, FALSE), 1)</f>
        <v>1.1030693505726876E-2</v>
      </c>
      <c r="O2" s="7">
        <f>$B2 * IFERROR(VLOOKUP("industry|PM25|Premature mortality", US_national_yearly!$D:$AM, 23, FALSE) / VLOOKUP("industry|PM25|Premature mortality", US_national_yearly!$D:$AM, 10, FALSE), 1)</f>
        <v>1.1146152803768654E-2</v>
      </c>
      <c r="P2" s="7">
        <f>$B2 * IFERROR(VLOOKUP("industry|PM25|Premature mortality", US_national_yearly!$D:$AM, 24, FALSE) / VLOOKUP("industry|PM25|Premature mortality", US_national_yearly!$D:$AM, 10, FALSE), 1)</f>
        <v>1.1261612101810432E-2</v>
      </c>
      <c r="Q2" s="7">
        <f>$B2 * IFERROR(VLOOKUP("industry|PM25|Premature mortality", US_national_yearly!$D:$AM, 25, FALSE) / VLOOKUP("industry|PM25|Premature mortality", US_national_yearly!$D:$AM, 10, FALSE), 1)</f>
        <v>1.1377071399852211E-2</v>
      </c>
      <c r="R2" s="7">
        <f>$B2 * IFERROR(VLOOKUP("industry|PM25|Premature mortality", US_national_yearly!$D:$AM, 26, FALSE) / VLOOKUP("industry|PM25|Premature mortality", US_national_yearly!$D:$AM, 10, FALSE), 1)</f>
        <v>1.1492530697893986E-2</v>
      </c>
      <c r="S2" s="7">
        <f>$B2 * IFERROR(VLOOKUP("industry|PM25|Premature mortality", US_national_yearly!$D:$AM, 27, FALSE) / VLOOKUP("industry|PM25|Premature mortality", US_national_yearly!$D:$AM, 10, FALSE), 1)</f>
        <v>1.155487443648312E-2</v>
      </c>
      <c r="T2" s="7">
        <f>$B2 * IFERROR(VLOOKUP("industry|PM25|Premature mortality", US_national_yearly!$D:$AM, 28, FALSE) / VLOOKUP("industry|PM25|Premature mortality", US_national_yearly!$D:$AM, 10, FALSE), 1)</f>
        <v>1.1617218175072254E-2</v>
      </c>
      <c r="U2" s="7">
        <f>$B2 * IFERROR(VLOOKUP("industry|PM25|Premature mortality", US_national_yearly!$D:$AM, 29, FALSE) / VLOOKUP("industry|PM25|Premature mortality", US_national_yearly!$D:$AM, 10, FALSE), 1)</f>
        <v>1.1679561913661391E-2</v>
      </c>
      <c r="V2" s="7">
        <f>$B2 * IFERROR(VLOOKUP("industry|PM25|Premature mortality", US_national_yearly!$D:$AM, 30, FALSE) / VLOOKUP("industry|PM25|Premature mortality", US_national_yearly!$D:$AM, 10, FALSE), 1)</f>
        <v>1.1741905652250525E-2</v>
      </c>
      <c r="W2" s="7">
        <f>$B2 * IFERROR(VLOOKUP("industry|PM25|Premature mortality", US_national_yearly!$D:$AM, 31, FALSE) / VLOOKUP("industry|PM25|Premature mortality", US_national_yearly!$D:$AM, 10, FALSE), 1)</f>
        <v>1.1804249390839659E-2</v>
      </c>
      <c r="X2" s="7">
        <f>$B2 * IFERROR(VLOOKUP("industry|PM25|Premature mortality", US_national_yearly!$D:$AM, 32, FALSE) / VLOOKUP("industry|PM25|Premature mortality", US_national_yearly!$D:$AM, 10, FALSE), 1)</f>
        <v>1.1817121187670204E-2</v>
      </c>
      <c r="Y2" s="7">
        <f>$B2 * IFERROR(VLOOKUP("industry|PM25|Premature mortality", US_national_yearly!$D:$AM, 33, FALSE) / VLOOKUP("industry|PM25|Premature mortality", US_national_yearly!$D:$AM, 10, FALSE), 1)</f>
        <v>1.1829992984500754E-2</v>
      </c>
      <c r="Z2" s="7">
        <f>$B2 * IFERROR(VLOOKUP("industry|PM25|Premature mortality", US_national_yearly!$D:$AM, 34, FALSE) / VLOOKUP("industry|PM25|Premature mortality", US_national_yearly!$D:$AM, 10, FALSE), 1)</f>
        <v>1.1842864781331298E-2</v>
      </c>
      <c r="AA2" s="7">
        <f>$B2 * IFERROR(VLOOKUP("industry|PM25|Premature mortality", US_national_yearly!$D:$AM, 35, FALSE) / VLOOKUP("industry|PM25|Premature mortality", US_national_yearly!$D:$AM, 10, FALSE), 1)</f>
        <v>1.1855736578161847E-2</v>
      </c>
      <c r="AB2" s="7">
        <f>$B2 * IFERROR(VLOOKUP("industry|PM25|Premature mortality", US_national_yearly!$D:$AM, 36, FALSE) / VLOOKUP("industry|PM25|Premature mortality", US_national_yearly!$D:$AM, 10, FALSE), 1)</f>
        <v>1.1868608374992394E-2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2.7238925021232246E-5</v>
      </c>
      <c r="C3" s="7">
        <f>$B3 * IFERROR(VLOOKUP("industry|PM25|Infant mortality", US_national_yearly!$D:$AM, 11, FALSE) / VLOOKUP("industry|PM25|Infant mortality", US_national_yearly!$D:$AM, 10, FALSE), 1)</f>
        <v>2.7001759818260143E-5</v>
      </c>
      <c r="D3" s="7">
        <f>$B3 * IFERROR(VLOOKUP("industry|PM25|Infant mortality", US_national_yearly!$D:$AM, 12, FALSE) / VLOOKUP("industry|PM25|Infant mortality", US_national_yearly!$D:$AM, 10, FALSE), 1)</f>
        <v>2.6764594615288034E-5</v>
      </c>
      <c r="E3" s="7">
        <f>$B3 * IFERROR(VLOOKUP("industry|PM25|Infant mortality", US_national_yearly!$D:$AM, 13, FALSE) / VLOOKUP("industry|PM25|Infant mortality", US_national_yearly!$D:$AM, 10, FALSE), 1)</f>
        <v>2.6527429412315925E-5</v>
      </c>
      <c r="F3" s="7">
        <f>$B3 * IFERROR(VLOOKUP("industry|PM25|Infant mortality", US_national_yearly!$D:$AM, 14, FALSE) / VLOOKUP("industry|PM25|Infant mortality", US_national_yearly!$D:$AM, 10, FALSE), 1)</f>
        <v>2.6290264209343823E-5</v>
      </c>
      <c r="G3" s="7">
        <f>$B3 * IFERROR(VLOOKUP("industry|PM25|Infant mortality", US_national_yearly!$D:$AM, 15, FALSE) / VLOOKUP("industry|PM25|Infant mortality", US_national_yearly!$D:$AM, 10, FALSE), 1)</f>
        <v>1.7468171778326206E-5</v>
      </c>
      <c r="H3" s="7">
        <f>$B3 * IFERROR(VLOOKUP("industry|PM25|Infant mortality", US_national_yearly!$D:$AM, 16, FALSE) / VLOOKUP("industry|PM25|Infant mortality", US_national_yearly!$D:$AM, 10, FALSE), 1)</f>
        <v>8.6460793473085917E-6</v>
      </c>
      <c r="I3" s="7">
        <f>$B3 * IFERROR(VLOOKUP("industry|PM25|Infant mortality", US_national_yearly!$D:$AM, 17, FALSE) / VLOOKUP("industry|PM25|Infant mortality", US_national_yearly!$D:$AM, 10, FALSE), 1)</f>
        <v>8.5885311615085347E-6</v>
      </c>
      <c r="J3" s="7">
        <f>$B3 * IFERROR(VLOOKUP("industry|PM25|Infant mortality", US_national_yearly!$D:$AM, 18, FALSE) / VLOOKUP("industry|PM25|Infant mortality", US_national_yearly!$D:$AM, 10, FALSE), 1)</f>
        <v>8.5309829757084794E-6</v>
      </c>
      <c r="K3" s="7">
        <f>$B3 * IFERROR(VLOOKUP("industry|PM25|Infant mortality", US_national_yearly!$D:$AM, 19, FALSE) / VLOOKUP("industry|PM25|Infant mortality", US_national_yearly!$D:$AM, 10, FALSE), 1)</f>
        <v>8.4734347899084241E-6</v>
      </c>
      <c r="L3" s="7">
        <f>$B3 * IFERROR(VLOOKUP("industry|PM25|Infant mortality", US_national_yearly!$D:$AM, 20, FALSE) / VLOOKUP("industry|PM25|Infant mortality", US_national_yearly!$D:$AM, 10, FALSE), 1)</f>
        <v>8.4158866041083654E-6</v>
      </c>
      <c r="M3" s="7">
        <f>$B3 * IFERROR(VLOOKUP("industry|PM25|Infant mortality", US_national_yearly!$D:$AM, 21, FALSE) / VLOOKUP("industry|PM25|Infant mortality", US_national_yearly!$D:$AM, 10, FALSE), 1)</f>
        <v>8.3583384183083118E-6</v>
      </c>
      <c r="N3" s="7">
        <f>$B3 * IFERROR(VLOOKUP("industry|PM25|Infant mortality", US_national_yearly!$D:$AM, 22, FALSE) / VLOOKUP("industry|PM25|Infant mortality", US_national_yearly!$D:$AM, 10, FALSE), 1)</f>
        <v>8.3216170717753408E-6</v>
      </c>
      <c r="O3" s="7">
        <f>$B3 * IFERROR(VLOOKUP("industry|PM25|Infant mortality", US_national_yearly!$D:$AM, 23, FALSE) / VLOOKUP("industry|PM25|Infant mortality", US_national_yearly!$D:$AM, 10, FALSE), 1)</f>
        <v>8.2848957252423731E-6</v>
      </c>
      <c r="P3" s="7">
        <f>$B3 * IFERROR(VLOOKUP("industry|PM25|Infant mortality", US_national_yearly!$D:$AM, 24, FALSE) / VLOOKUP("industry|PM25|Infant mortality", US_national_yearly!$D:$AM, 10, FALSE), 1)</f>
        <v>8.2481743787094054E-6</v>
      </c>
      <c r="Q3" s="7">
        <f>$B3 * IFERROR(VLOOKUP("industry|PM25|Infant mortality", US_national_yearly!$D:$AM, 25, FALSE) / VLOOKUP("industry|PM25|Infant mortality", US_national_yearly!$D:$AM, 10, FALSE), 1)</f>
        <v>8.2114530321764378E-6</v>
      </c>
      <c r="R3" s="7">
        <f>$B3 * IFERROR(VLOOKUP("industry|PM25|Infant mortality", US_national_yearly!$D:$AM, 26, FALSE) / VLOOKUP("industry|PM25|Infant mortality", US_national_yearly!$D:$AM, 10, FALSE), 1)</f>
        <v>8.1747316856434701E-6</v>
      </c>
      <c r="S3" s="7">
        <f>$B3 * IFERROR(VLOOKUP("industry|PM25|Infant mortality", US_national_yearly!$D:$AM, 27, FALSE) / VLOOKUP("industry|PM25|Infant mortality", US_national_yearly!$D:$AM, 10, FALSE), 1)</f>
        <v>8.1295677449918696E-6</v>
      </c>
      <c r="T3" s="7">
        <f>$B3 * IFERROR(VLOOKUP("industry|PM25|Infant mortality", US_national_yearly!$D:$AM, 28, FALSE) / VLOOKUP("industry|PM25|Infant mortality", US_national_yearly!$D:$AM, 10, FALSE), 1)</f>
        <v>8.0844038043402708E-6</v>
      </c>
      <c r="U3" s="7">
        <f>$B3 * IFERROR(VLOOKUP("industry|PM25|Infant mortality", US_national_yearly!$D:$AM, 29, FALSE) / VLOOKUP("industry|PM25|Infant mortality", US_national_yearly!$D:$AM, 10, FALSE), 1)</f>
        <v>8.0392398636886703E-6</v>
      </c>
      <c r="V3" s="7">
        <f>$B3 * IFERROR(VLOOKUP("industry|PM25|Infant mortality", US_national_yearly!$D:$AM, 30, FALSE) / VLOOKUP("industry|PM25|Infant mortality", US_national_yearly!$D:$AM, 10, FALSE), 1)</f>
        <v>7.9940759230370715E-6</v>
      </c>
      <c r="W3" s="7">
        <f>$B3 * IFERROR(VLOOKUP("industry|PM25|Infant mortality", US_national_yearly!$D:$AM, 31, FALSE) / VLOOKUP("industry|PM25|Infant mortality", US_national_yearly!$D:$AM, 10, FALSE), 1)</f>
        <v>7.9489119823854727E-6</v>
      </c>
      <c r="X3" s="7">
        <f>$B3 * IFERROR(VLOOKUP("industry|PM25|Infant mortality", US_national_yearly!$D:$AM, 32, FALSE) / VLOOKUP("industry|PM25|Infant mortality", US_national_yearly!$D:$AM, 10, FALSE), 1)</f>
        <v>7.9006486526007015E-6</v>
      </c>
      <c r="Y3" s="7">
        <f>$B3 * IFERROR(VLOOKUP("industry|PM25|Infant mortality", US_national_yearly!$D:$AM, 33, FALSE) / VLOOKUP("industry|PM25|Infant mortality", US_national_yearly!$D:$AM, 10, FALSE), 1)</f>
        <v>7.8523853228159285E-6</v>
      </c>
      <c r="Z3" s="7">
        <f>$B3 * IFERROR(VLOOKUP("industry|PM25|Infant mortality", US_national_yearly!$D:$AM, 34, FALSE) / VLOOKUP("industry|PM25|Infant mortality", US_national_yearly!$D:$AM, 10, FALSE), 1)</f>
        <v>7.8041219930311556E-6</v>
      </c>
      <c r="AA3" s="7">
        <f>$B3 * IFERROR(VLOOKUP("industry|PM25|Infant mortality", US_national_yearly!$D:$AM, 35, FALSE) / VLOOKUP("industry|PM25|Infant mortality", US_national_yearly!$D:$AM, 10, FALSE), 1)</f>
        <v>7.7558586632463843E-6</v>
      </c>
      <c r="AB3" s="7">
        <f>$B3 * IFERROR(VLOOKUP("industry|PM25|Infant mortality", US_national_yearly!$D:$AM, 36, FALSE) / VLOOKUP("industry|PM25|Infant mortality", US_national_yearly!$D:$AM, 10, FALSE), 1)</f>
        <v>7.7075953334616114E-6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2.9187088564700894E-2</v>
      </c>
      <c r="C6" s="7">
        <f>$B6 * IFERROR(VLOOKUP("industry|PM25|Asthma symptoms cough", US_national_yearly!$D:$AM, 11, FALSE) / VLOOKUP("industry|PM25|Asthma symptoms cough", US_national_yearly!$D:$AM, 10, FALSE), 1)</f>
        <v>2.9187088564700894E-2</v>
      </c>
      <c r="D6" s="7">
        <f>$B6 * IFERROR(VLOOKUP("industry|PM25|Asthma symptoms cough", US_national_yearly!$D:$AM, 12, FALSE) / VLOOKUP("industry|PM25|Asthma symptoms cough", US_national_yearly!$D:$AM, 10, FALSE), 1)</f>
        <v>2.9187088564700894E-2</v>
      </c>
      <c r="E6" s="7">
        <f>$B6 * IFERROR(VLOOKUP("industry|PM25|Asthma symptoms cough", US_national_yearly!$D:$AM, 13, FALSE) / VLOOKUP("industry|PM25|Asthma symptoms cough", US_national_yearly!$D:$AM, 10, FALSE), 1)</f>
        <v>2.9187088564700894E-2</v>
      </c>
      <c r="F6" s="7">
        <f>$B6 * IFERROR(VLOOKUP("industry|PM25|Asthma symptoms cough", US_national_yearly!$D:$AM, 14, FALSE) / VLOOKUP("industry|PM25|Asthma symptoms cough", US_national_yearly!$D:$AM, 10, FALSE), 1)</f>
        <v>2.9187088564700894E-2</v>
      </c>
      <c r="G6" s="7">
        <f>$B6 * IFERROR(VLOOKUP("industry|PM25|Asthma symptoms cough", US_national_yearly!$D:$AM, 15, FALSE) / VLOOKUP("industry|PM25|Asthma symptoms cough", US_national_yearly!$D:$AM, 10, FALSE), 1)</f>
        <v>2.9187088564700894E-2</v>
      </c>
      <c r="H6" s="7">
        <f>$B6 * IFERROR(VLOOKUP("industry|PM25|Asthma symptoms cough", US_national_yearly!$D:$AM, 16, FALSE) / VLOOKUP("industry|PM25|Asthma symptoms cough", US_national_yearly!$D:$AM, 10, FALSE), 1)</f>
        <v>2.9187088564700894E-2</v>
      </c>
      <c r="I6" s="7">
        <f>$B6 * IFERROR(VLOOKUP("industry|PM25|Asthma symptoms cough", US_national_yearly!$D:$AM, 17, FALSE) / VLOOKUP("industry|PM25|Asthma symptoms cough", US_national_yearly!$D:$AM, 10, FALSE), 1)</f>
        <v>2.9187088564700894E-2</v>
      </c>
      <c r="J6" s="7">
        <f>$B6 * IFERROR(VLOOKUP("industry|PM25|Asthma symptoms cough", US_national_yearly!$D:$AM, 18, FALSE) / VLOOKUP("industry|PM25|Asthma symptoms cough", US_national_yearly!$D:$AM, 10, FALSE), 1)</f>
        <v>2.9187088564700894E-2</v>
      </c>
      <c r="K6" s="7">
        <f>$B6 * IFERROR(VLOOKUP("industry|PM25|Asthma symptoms cough", US_national_yearly!$D:$AM, 19, FALSE) / VLOOKUP("industry|PM25|Asthma symptoms cough", US_national_yearly!$D:$AM, 10, FALSE), 1)</f>
        <v>2.9187088564700894E-2</v>
      </c>
      <c r="L6" s="7">
        <f>$B6 * IFERROR(VLOOKUP("industry|PM25|Asthma symptoms cough", US_national_yearly!$D:$AM, 20, FALSE) / VLOOKUP("industry|PM25|Asthma symptoms cough", US_national_yearly!$D:$AM, 10, FALSE), 1)</f>
        <v>2.9187088564700894E-2</v>
      </c>
      <c r="M6" s="7">
        <f>$B6 * IFERROR(VLOOKUP("industry|PM25|Asthma symptoms cough", US_national_yearly!$D:$AM, 21, FALSE) / VLOOKUP("industry|PM25|Asthma symptoms cough", US_national_yearly!$D:$AM, 10, FALSE), 1)</f>
        <v>2.9187088564700894E-2</v>
      </c>
      <c r="N6" s="7">
        <f>$B6 * IFERROR(VLOOKUP("industry|PM25|Asthma symptoms cough", US_national_yearly!$D:$AM, 22, FALSE) / VLOOKUP("industry|PM25|Asthma symptoms cough", US_national_yearly!$D:$AM, 10, FALSE), 1)</f>
        <v>2.9187088564700894E-2</v>
      </c>
      <c r="O6" s="7">
        <f>$B6 * IFERROR(VLOOKUP("industry|PM25|Asthma symptoms cough", US_national_yearly!$D:$AM, 23, FALSE) / VLOOKUP("industry|PM25|Asthma symptoms cough", US_national_yearly!$D:$AM, 10, FALSE), 1)</f>
        <v>2.9187088564700894E-2</v>
      </c>
      <c r="P6" s="7">
        <f>$B6 * IFERROR(VLOOKUP("industry|PM25|Asthma symptoms cough", US_national_yearly!$D:$AM, 24, FALSE) / VLOOKUP("industry|PM25|Asthma symptoms cough", US_national_yearly!$D:$AM, 10, FALSE), 1)</f>
        <v>2.9187088564700894E-2</v>
      </c>
      <c r="Q6" s="7">
        <f>$B6 * IFERROR(VLOOKUP("industry|PM25|Asthma symptoms cough", US_national_yearly!$D:$AM, 25, FALSE) / VLOOKUP("industry|PM25|Asthma symptoms cough", US_national_yearly!$D:$AM, 10, FALSE), 1)</f>
        <v>2.9187088564700894E-2</v>
      </c>
      <c r="R6" s="7">
        <f>$B6 * IFERROR(VLOOKUP("industry|PM25|Asthma symptoms cough", US_national_yearly!$D:$AM, 26, FALSE) / VLOOKUP("industry|PM25|Asthma symptoms cough", US_national_yearly!$D:$AM, 10, FALSE), 1)</f>
        <v>2.9187088564700894E-2</v>
      </c>
      <c r="S6" s="7">
        <f>$B6 * IFERROR(VLOOKUP("industry|PM25|Asthma symptoms cough", US_national_yearly!$D:$AM, 27, FALSE) / VLOOKUP("industry|PM25|Asthma symptoms cough", US_national_yearly!$D:$AM, 10, FALSE), 1)</f>
        <v>2.9187088564700894E-2</v>
      </c>
      <c r="T6" s="7">
        <f>$B6 * IFERROR(VLOOKUP("industry|PM25|Asthma symptoms cough", US_national_yearly!$D:$AM, 28, FALSE) / VLOOKUP("industry|PM25|Asthma symptoms cough", US_national_yearly!$D:$AM, 10, FALSE), 1)</f>
        <v>2.9187088564700894E-2</v>
      </c>
      <c r="U6" s="7">
        <f>$B6 * IFERROR(VLOOKUP("industry|PM25|Asthma symptoms cough", US_national_yearly!$D:$AM, 29, FALSE) / VLOOKUP("industry|PM25|Asthma symptoms cough", US_national_yearly!$D:$AM, 10, FALSE), 1)</f>
        <v>2.9187088564700894E-2</v>
      </c>
      <c r="V6" s="7">
        <f>$B6 * IFERROR(VLOOKUP("industry|PM25|Asthma symptoms cough", US_national_yearly!$D:$AM, 30, FALSE) / VLOOKUP("industry|PM25|Asthma symptoms cough", US_national_yearly!$D:$AM, 10, FALSE), 1)</f>
        <v>2.9187088564700894E-2</v>
      </c>
      <c r="W6" s="7">
        <f>$B6 * IFERROR(VLOOKUP("industry|PM25|Asthma symptoms cough", US_national_yearly!$D:$AM, 31, FALSE) / VLOOKUP("industry|PM25|Asthma symptoms cough", US_national_yearly!$D:$AM, 10, FALSE), 1)</f>
        <v>2.9187088564700894E-2</v>
      </c>
      <c r="X6" s="7">
        <f>$B6 * IFERROR(VLOOKUP("industry|PM25|Asthma symptoms cough", US_national_yearly!$D:$AM, 32, FALSE) / VLOOKUP("industry|PM25|Asthma symptoms cough", US_national_yearly!$D:$AM, 10, FALSE), 1)</f>
        <v>2.9187088564700894E-2</v>
      </c>
      <c r="Y6" s="7">
        <f>$B6 * IFERROR(VLOOKUP("industry|PM25|Asthma symptoms cough", US_national_yearly!$D:$AM, 33, FALSE) / VLOOKUP("industry|PM25|Asthma symptoms cough", US_national_yearly!$D:$AM, 10, FALSE), 1)</f>
        <v>2.9187088564700894E-2</v>
      </c>
      <c r="Z6" s="7">
        <f>$B6 * IFERROR(VLOOKUP("industry|PM25|Asthma symptoms cough", US_national_yearly!$D:$AM, 34, FALSE) / VLOOKUP("industry|PM25|Asthma symptoms cough", US_national_yearly!$D:$AM, 10, FALSE), 1)</f>
        <v>2.9187088564700894E-2</v>
      </c>
      <c r="AA6" s="7">
        <f>$B6 * IFERROR(VLOOKUP("industry|PM25|Asthma symptoms cough", US_national_yearly!$D:$AM, 35, FALSE) / VLOOKUP("industry|PM25|Asthma symptoms cough", US_national_yearly!$D:$AM, 10, FALSE), 1)</f>
        <v>2.9187088564700894E-2</v>
      </c>
      <c r="AB6" s="7">
        <f>$B6 * IFERROR(VLOOKUP("industry|PM25|Asthma symptoms cough", US_national_yearly!$D:$AM, 36, FALSE) / VLOOKUP("industry|PM25|Asthma symptoms cough", US_national_yearly!$D:$AM, 10, FALSE), 1)</f>
        <v>2.9187088564700894E-2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3.9302040169491292E-2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3.9302040169491292E-2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3.9302040169491292E-2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3.9302040169491292E-2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3.9302040169491292E-2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3.9302040169491292E-2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3.9302040169491292E-2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3.9302040169491292E-2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3.9302040169491292E-2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3.9302040169491292E-2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3.9302040169491292E-2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3.9302040169491292E-2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3.9302040169491292E-2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3.9302040169491292E-2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3.9302040169491292E-2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3.9302040169491292E-2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3.9302040169491292E-2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3.9302040169491292E-2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3.9302040169491292E-2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3.9302040169491292E-2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3.9302040169491292E-2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3.9302040169491292E-2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3.9302040169491292E-2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3.9302040169491292E-2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3.9302040169491292E-2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3.9302040169491292E-2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3.9302040169491292E-2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6.0056157142051453E-2</v>
      </c>
      <c r="C8" s="7">
        <f>$B8 * IFERROR(VLOOKUP("industry|PM25|Asthma symptoms wheeze", US_national_yearly!$D:$AM, 11, FALSE) / VLOOKUP("industry|PM25|Asthma symptoms wheeze", US_national_yearly!$D:$AM, 10, FALSE), 1)</f>
        <v>6.0056157142051453E-2</v>
      </c>
      <c r="D8" s="7">
        <f>$B8 * IFERROR(VLOOKUP("industry|PM25|Asthma symptoms wheeze", US_national_yearly!$D:$AM, 12, FALSE) / VLOOKUP("industry|PM25|Asthma symptoms wheeze", US_national_yearly!$D:$AM, 10, FALSE), 1)</f>
        <v>6.0056157142051453E-2</v>
      </c>
      <c r="E8" s="7">
        <f>$B8 * IFERROR(VLOOKUP("industry|PM25|Asthma symptoms wheeze", US_national_yearly!$D:$AM, 13, FALSE) / VLOOKUP("industry|PM25|Asthma symptoms wheeze", US_national_yearly!$D:$AM, 10, FALSE), 1)</f>
        <v>6.0056157142051453E-2</v>
      </c>
      <c r="F8" s="7">
        <f>$B8 * IFERROR(VLOOKUP("industry|PM25|Asthma symptoms wheeze", US_national_yearly!$D:$AM, 14, FALSE) / VLOOKUP("industry|PM25|Asthma symptoms wheeze", US_national_yearly!$D:$AM, 10, FALSE), 1)</f>
        <v>6.0056157142051453E-2</v>
      </c>
      <c r="G8" s="7">
        <f>$B8 * IFERROR(VLOOKUP("industry|PM25|Asthma symptoms wheeze", US_national_yearly!$D:$AM, 15, FALSE) / VLOOKUP("industry|PM25|Asthma symptoms wheeze", US_national_yearly!$D:$AM, 10, FALSE), 1)</f>
        <v>6.0056157142051453E-2</v>
      </c>
      <c r="H8" s="7">
        <f>$B8 * IFERROR(VLOOKUP("industry|PM25|Asthma symptoms wheeze", US_national_yearly!$D:$AM, 16, FALSE) / VLOOKUP("industry|PM25|Asthma symptoms wheeze", US_national_yearly!$D:$AM, 10, FALSE), 1)</f>
        <v>6.0056157142051453E-2</v>
      </c>
      <c r="I8" s="7">
        <f>$B8 * IFERROR(VLOOKUP("industry|PM25|Asthma symptoms wheeze", US_national_yearly!$D:$AM, 17, FALSE) / VLOOKUP("industry|PM25|Asthma symptoms wheeze", US_national_yearly!$D:$AM, 10, FALSE), 1)</f>
        <v>6.0056157142051453E-2</v>
      </c>
      <c r="J8" s="7">
        <f>$B8 * IFERROR(VLOOKUP("industry|PM25|Asthma symptoms wheeze", US_national_yearly!$D:$AM, 18, FALSE) / VLOOKUP("industry|PM25|Asthma symptoms wheeze", US_national_yearly!$D:$AM, 10, FALSE), 1)</f>
        <v>6.0056157142051453E-2</v>
      </c>
      <c r="K8" s="7">
        <f>$B8 * IFERROR(VLOOKUP("industry|PM25|Asthma symptoms wheeze", US_national_yearly!$D:$AM, 19, FALSE) / VLOOKUP("industry|PM25|Asthma symptoms wheeze", US_national_yearly!$D:$AM, 10, FALSE), 1)</f>
        <v>6.0056157142051453E-2</v>
      </c>
      <c r="L8" s="7">
        <f>$B8 * IFERROR(VLOOKUP("industry|PM25|Asthma symptoms wheeze", US_national_yearly!$D:$AM, 20, FALSE) / VLOOKUP("industry|PM25|Asthma symptoms wheeze", US_national_yearly!$D:$AM, 10, FALSE), 1)</f>
        <v>6.0056157142051453E-2</v>
      </c>
      <c r="M8" s="7">
        <f>$B8 * IFERROR(VLOOKUP("industry|PM25|Asthma symptoms wheeze", US_national_yearly!$D:$AM, 21, FALSE) / VLOOKUP("industry|PM25|Asthma symptoms wheeze", US_national_yearly!$D:$AM, 10, FALSE), 1)</f>
        <v>6.0056157142051453E-2</v>
      </c>
      <c r="N8" s="7">
        <f>$B8 * IFERROR(VLOOKUP("industry|PM25|Asthma symptoms wheeze", US_national_yearly!$D:$AM, 22, FALSE) / VLOOKUP("industry|PM25|Asthma symptoms wheeze", US_national_yearly!$D:$AM, 10, FALSE), 1)</f>
        <v>6.0056157142051453E-2</v>
      </c>
      <c r="O8" s="7">
        <f>$B8 * IFERROR(VLOOKUP("industry|PM25|Asthma symptoms wheeze", US_national_yearly!$D:$AM, 23, FALSE) / VLOOKUP("industry|PM25|Asthma symptoms wheeze", US_national_yearly!$D:$AM, 10, FALSE), 1)</f>
        <v>6.0056157142051453E-2</v>
      </c>
      <c r="P8" s="7">
        <f>$B8 * IFERROR(VLOOKUP("industry|PM25|Asthma symptoms wheeze", US_national_yearly!$D:$AM, 24, FALSE) / VLOOKUP("industry|PM25|Asthma symptoms wheeze", US_national_yearly!$D:$AM, 10, FALSE), 1)</f>
        <v>6.0056157142051453E-2</v>
      </c>
      <c r="Q8" s="7">
        <f>$B8 * IFERROR(VLOOKUP("industry|PM25|Asthma symptoms wheeze", US_national_yearly!$D:$AM, 25, FALSE) / VLOOKUP("industry|PM25|Asthma symptoms wheeze", US_national_yearly!$D:$AM, 10, FALSE), 1)</f>
        <v>6.0056157142051453E-2</v>
      </c>
      <c r="R8" s="7">
        <f>$B8 * IFERROR(VLOOKUP("industry|PM25|Asthma symptoms wheeze", US_national_yearly!$D:$AM, 26, FALSE) / VLOOKUP("industry|PM25|Asthma symptoms wheeze", US_national_yearly!$D:$AM, 10, FALSE), 1)</f>
        <v>6.0056157142051453E-2</v>
      </c>
      <c r="S8" s="7">
        <f>$B8 * IFERROR(VLOOKUP("industry|PM25|Asthma symptoms wheeze", US_national_yearly!$D:$AM, 27, FALSE) / VLOOKUP("industry|PM25|Asthma symptoms wheeze", US_national_yearly!$D:$AM, 10, FALSE), 1)</f>
        <v>6.0056157142051453E-2</v>
      </c>
      <c r="T8" s="7">
        <f>$B8 * IFERROR(VLOOKUP("industry|PM25|Asthma symptoms wheeze", US_national_yearly!$D:$AM, 28, FALSE) / VLOOKUP("industry|PM25|Asthma symptoms wheeze", US_national_yearly!$D:$AM, 10, FALSE), 1)</f>
        <v>6.0056157142051453E-2</v>
      </c>
      <c r="U8" s="7">
        <f>$B8 * IFERROR(VLOOKUP("industry|PM25|Asthma symptoms wheeze", US_national_yearly!$D:$AM, 29, FALSE) / VLOOKUP("industry|PM25|Asthma symptoms wheeze", US_national_yearly!$D:$AM, 10, FALSE), 1)</f>
        <v>6.0056157142051453E-2</v>
      </c>
      <c r="V8" s="7">
        <f>$B8 * IFERROR(VLOOKUP("industry|PM25|Asthma symptoms wheeze", US_national_yearly!$D:$AM, 30, FALSE) / VLOOKUP("industry|PM25|Asthma symptoms wheeze", US_national_yearly!$D:$AM, 10, FALSE), 1)</f>
        <v>6.0056157142051453E-2</v>
      </c>
      <c r="W8" s="7">
        <f>$B8 * IFERROR(VLOOKUP("industry|PM25|Asthma symptoms wheeze", US_national_yearly!$D:$AM, 31, FALSE) / VLOOKUP("industry|PM25|Asthma symptoms wheeze", US_national_yearly!$D:$AM, 10, FALSE), 1)</f>
        <v>6.0056157142051453E-2</v>
      </c>
      <c r="X8" s="7">
        <f>$B8 * IFERROR(VLOOKUP("industry|PM25|Asthma symptoms wheeze", US_national_yearly!$D:$AM, 32, FALSE) / VLOOKUP("industry|PM25|Asthma symptoms wheeze", US_national_yearly!$D:$AM, 10, FALSE), 1)</f>
        <v>6.0056157142051453E-2</v>
      </c>
      <c r="Y8" s="7">
        <f>$B8 * IFERROR(VLOOKUP("industry|PM25|Asthma symptoms wheeze", US_national_yearly!$D:$AM, 33, FALSE) / VLOOKUP("industry|PM25|Asthma symptoms wheeze", US_national_yearly!$D:$AM, 10, FALSE), 1)</f>
        <v>6.0056157142051453E-2</v>
      </c>
      <c r="Z8" s="7">
        <f>$B8 * IFERROR(VLOOKUP("industry|PM25|Asthma symptoms wheeze", US_national_yearly!$D:$AM, 34, FALSE) / VLOOKUP("industry|PM25|Asthma symptoms wheeze", US_national_yearly!$D:$AM, 10, FALSE), 1)</f>
        <v>6.0056157142051453E-2</v>
      </c>
      <c r="AA8" s="7">
        <f>$B8 * IFERROR(VLOOKUP("industry|PM25|Asthma symptoms wheeze", US_national_yearly!$D:$AM, 35, FALSE) / VLOOKUP("industry|PM25|Asthma symptoms wheeze", US_national_yearly!$D:$AM, 10, FALSE), 1)</f>
        <v>6.0056157142051453E-2</v>
      </c>
      <c r="AB8" s="7">
        <f>$B8 * IFERROR(VLOOKUP("industry|PM25|Asthma symptoms wheeze", US_national_yearly!$D:$AM, 36, FALSE) / VLOOKUP("industry|PM25|Asthma symptoms wheeze", US_national_yearly!$D:$AM, 10, FALSE), 1)</f>
        <v>6.0056157142051453E-2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6.4682245558436973E-4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6.5049483125174804E-4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6.5416720691912624E-4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6.5783958258650455E-4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6.6151195825388297E-4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6.654824890402959E-4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6.6945301982670904E-4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6.7321956779600473E-4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6.7698611576530042E-4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6.8075266373459589E-4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6.8451921170389158E-4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6.8828575967318727E-4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6.9094973354189558E-4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6.9361370741060377E-4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6.9627768127931207E-4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6.9894165514802027E-4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7.0160562901672857E-4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7.0411822735863528E-4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7.0663082570054199E-4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7.0914342404244891E-4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7.1165602238435562E-4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7.1416862072626254E-4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7.1658788763228449E-4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7.1900715453830644E-4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7.2142642144432849E-4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7.2384568835035066E-4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7.262649552563726E-4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3.8816329906221957E-3</v>
      </c>
      <c r="C13" s="7">
        <f>$B13 * IFERROR(VLOOKUP("industry|PM25|Non-fatal heart attacks", US_national_yearly!$D:$AM, 11, FALSE) / VLOOKUP("industry|PM25|Non-fatal heart attacks", US_national_yearly!$D:$AM, 10, FALSE), 1)</f>
        <v>3.9946283447663275E-3</v>
      </c>
      <c r="D13" s="7">
        <f>$B13 * IFERROR(VLOOKUP("industry|PM25|Non-fatal heart attacks", US_national_yearly!$D:$AM, 12, FALSE) / VLOOKUP("industry|PM25|Non-fatal heart attacks", US_national_yearly!$D:$AM, 10, FALSE), 1)</f>
        <v>4.1076236989104576E-3</v>
      </c>
      <c r="E13" s="7">
        <f>$B13 * IFERROR(VLOOKUP("industry|PM25|Non-fatal heart attacks", US_national_yearly!$D:$AM, 13, FALSE) / VLOOKUP("industry|PM25|Non-fatal heart attacks", US_national_yearly!$D:$AM, 10, FALSE), 1)</f>
        <v>4.2206190530545895E-3</v>
      </c>
      <c r="F13" s="7">
        <f>$B13 * IFERROR(VLOOKUP("industry|PM25|Non-fatal heart attacks", US_national_yearly!$D:$AM, 14, FALSE) / VLOOKUP("industry|PM25|Non-fatal heart attacks", US_national_yearly!$D:$AM, 10, FALSE), 1)</f>
        <v>4.3336144071987213E-3</v>
      </c>
      <c r="G13" s="7">
        <f>$B13 * IFERROR(VLOOKUP("industry|PM25|Non-fatal heart attacks", US_national_yearly!$D:$AM, 15, FALSE) / VLOOKUP("industry|PM25|Non-fatal heart attacks", US_national_yearly!$D:$AM, 10, FALSE), 1)</f>
        <v>4.4402899665789133E-3</v>
      </c>
      <c r="H13" s="7">
        <f>$B13 * IFERROR(VLOOKUP("industry|PM25|Non-fatal heart attacks", US_national_yearly!$D:$AM, 16, FALSE) / VLOOKUP("industry|PM25|Non-fatal heart attacks", US_national_yearly!$D:$AM, 10, FALSE), 1)</f>
        <v>4.5469655259591062E-3</v>
      </c>
      <c r="I13" s="7">
        <f>$B13 * IFERROR(VLOOKUP("industry|PM25|Non-fatal heart attacks", US_national_yearly!$D:$AM, 17, FALSE) / VLOOKUP("industry|PM25|Non-fatal heart attacks", US_national_yearly!$D:$AM, 10, FALSE), 1)</f>
        <v>4.6331070253321895E-3</v>
      </c>
      <c r="J13" s="7">
        <f>$B13 * IFERROR(VLOOKUP("industry|PM25|Non-fatal heart attacks", US_national_yearly!$D:$AM, 18, FALSE) / VLOOKUP("industry|PM25|Non-fatal heart attacks", US_national_yearly!$D:$AM, 10, FALSE), 1)</f>
        <v>4.719248524705272E-3</v>
      </c>
      <c r="K13" s="7">
        <f>$B13 * IFERROR(VLOOKUP("industry|PM25|Non-fatal heart attacks", US_national_yearly!$D:$AM, 19, FALSE) / VLOOKUP("industry|PM25|Non-fatal heart attacks", US_national_yearly!$D:$AM, 10, FALSE), 1)</f>
        <v>4.8053900240783553E-3</v>
      </c>
      <c r="L13" s="7">
        <f>$B13 * IFERROR(VLOOKUP("industry|PM25|Non-fatal heart attacks", US_national_yearly!$D:$AM, 20, FALSE) / VLOOKUP("industry|PM25|Non-fatal heart attacks", US_national_yearly!$D:$AM, 10, FALSE), 1)</f>
        <v>4.8915315234514378E-3</v>
      </c>
      <c r="M13" s="7">
        <f>$B13 * IFERROR(VLOOKUP("industry|PM25|Non-fatal heart attacks", US_national_yearly!$D:$AM, 21, FALSE) / VLOOKUP("industry|PM25|Non-fatal heart attacks", US_national_yearly!$D:$AM, 10, FALSE), 1)</f>
        <v>4.9776730228245202E-3</v>
      </c>
      <c r="N13" s="7">
        <f>$B13 * IFERROR(VLOOKUP("industry|PM25|Non-fatal heart attacks", US_national_yearly!$D:$AM, 22, FALSE) / VLOOKUP("industry|PM25|Non-fatal heart attacks", US_national_yearly!$D:$AM, 10, FALSE), 1)</f>
        <v>5.0333682994690883E-3</v>
      </c>
      <c r="O13" s="7">
        <f>$B13 * IFERROR(VLOOKUP("industry|PM25|Non-fatal heart attacks", US_national_yearly!$D:$AM, 23, FALSE) / VLOOKUP("industry|PM25|Non-fatal heart attacks", US_national_yearly!$D:$AM, 10, FALSE), 1)</f>
        <v>5.0890635761136572E-3</v>
      </c>
      <c r="P13" s="7">
        <f>$B13 * IFERROR(VLOOKUP("industry|PM25|Non-fatal heart attacks", US_national_yearly!$D:$AM, 24, FALSE) / VLOOKUP("industry|PM25|Non-fatal heart attacks", US_national_yearly!$D:$AM, 10, FALSE), 1)</f>
        <v>5.1447588527582253E-3</v>
      </c>
      <c r="Q13" s="7">
        <f>$B13 * IFERROR(VLOOKUP("industry|PM25|Non-fatal heart attacks", US_national_yearly!$D:$AM, 25, FALSE) / VLOOKUP("industry|PM25|Non-fatal heart attacks", US_national_yearly!$D:$AM, 10, FALSE), 1)</f>
        <v>5.2004541294027934E-3</v>
      </c>
      <c r="R13" s="7">
        <f>$B13 * IFERROR(VLOOKUP("industry|PM25|Non-fatal heart attacks", US_national_yearly!$D:$AM, 26, FALSE) / VLOOKUP("industry|PM25|Non-fatal heart attacks", US_national_yearly!$D:$AM, 10, FALSE), 1)</f>
        <v>5.2561494060473614E-3</v>
      </c>
      <c r="S13" s="7">
        <f>$B13 * IFERROR(VLOOKUP("industry|PM25|Non-fatal heart attacks", US_national_yearly!$D:$AM, 27, FALSE) / VLOOKUP("industry|PM25|Non-fatal heart attacks", US_national_yearly!$D:$AM, 10, FALSE), 1)</f>
        <v>5.2858964643687899E-3</v>
      </c>
      <c r="T13" s="7">
        <f>$B13 * IFERROR(VLOOKUP("industry|PM25|Non-fatal heart attacks", US_national_yearly!$D:$AM, 28, FALSE) / VLOOKUP("industry|PM25|Non-fatal heart attacks", US_national_yearly!$D:$AM, 10, FALSE), 1)</f>
        <v>5.3156435226902202E-3</v>
      </c>
      <c r="U13" s="7">
        <f>$B13 * IFERROR(VLOOKUP("industry|PM25|Non-fatal heart attacks", US_national_yearly!$D:$AM, 29, FALSE) / VLOOKUP("industry|PM25|Non-fatal heart attacks", US_national_yearly!$D:$AM, 10, FALSE), 1)</f>
        <v>5.3453905810116496E-3</v>
      </c>
      <c r="V13" s="7">
        <f>$B13 * IFERROR(VLOOKUP("industry|PM25|Non-fatal heart attacks", US_national_yearly!$D:$AM, 30, FALSE) / VLOOKUP("industry|PM25|Non-fatal heart attacks", US_national_yearly!$D:$AM, 10, FALSE), 1)</f>
        <v>5.3751376393330781E-3</v>
      </c>
      <c r="W13" s="7">
        <f>$B13 * IFERROR(VLOOKUP("industry|PM25|Non-fatal heart attacks", US_national_yearly!$D:$AM, 31, FALSE) / VLOOKUP("industry|PM25|Non-fatal heart attacks", US_national_yearly!$D:$AM, 10, FALSE), 1)</f>
        <v>5.4048846976545075E-3</v>
      </c>
      <c r="X13" s="7">
        <f>$B13 * IFERROR(VLOOKUP("industry|PM25|Non-fatal heart attacks", US_national_yearly!$D:$AM, 32, FALSE) / VLOOKUP("industry|PM25|Non-fatal heart attacks", US_national_yearly!$D:$AM, 10, FALSE), 1)</f>
        <v>5.4278432853036044E-3</v>
      </c>
      <c r="Y13" s="7">
        <f>$B13 * IFERROR(VLOOKUP("industry|PM25|Non-fatal heart attacks", US_national_yearly!$D:$AM, 33, FALSE) / VLOOKUP("industry|PM25|Non-fatal heart attacks", US_national_yearly!$D:$AM, 10, FALSE), 1)</f>
        <v>5.4508018729527005E-3</v>
      </c>
      <c r="Z13" s="7">
        <f>$B13 * IFERROR(VLOOKUP("industry|PM25|Non-fatal heart attacks", US_national_yearly!$D:$AM, 34, FALSE) / VLOOKUP("industry|PM25|Non-fatal heart attacks", US_national_yearly!$D:$AM, 10, FALSE), 1)</f>
        <v>5.4737604606017965E-3</v>
      </c>
      <c r="AA13" s="7">
        <f>$B13 * IFERROR(VLOOKUP("industry|PM25|Non-fatal heart attacks", US_national_yearly!$D:$AM, 35, FALSE) / VLOOKUP("industry|PM25|Non-fatal heart attacks", US_national_yearly!$D:$AM, 10, FALSE), 1)</f>
        <v>5.4967190482508935E-3</v>
      </c>
      <c r="AB13" s="7">
        <f>$B13 * IFERROR(VLOOKUP("industry|PM25|Non-fatal heart attacks", US_national_yearly!$D:$AM, 36, FALSE) / VLOOKUP("industry|PM25|Non-fatal heart attacks", US_national_yearly!$D:$AM, 10, FALSE), 1)</f>
        <v>5.5196776358999904E-3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3.2421975267534222</v>
      </c>
      <c r="C14" s="7">
        <f>$B14 * IFERROR(VLOOKUP("industry|PM25|Minor restricted activity days", US_national_yearly!$D:$AM, 11, FALSE) / VLOOKUP("industry|PM25|Minor restricted activity days", US_national_yearly!$D:$AM, 10, FALSE), 1)</f>
        <v>3.2501382059094306</v>
      </c>
      <c r="D14" s="7">
        <f>$B14 * IFERROR(VLOOKUP("industry|PM25|Minor restricted activity days", US_national_yearly!$D:$AM, 12, FALSE) / VLOOKUP("industry|PM25|Minor restricted activity days", US_national_yearly!$D:$AM, 10, FALSE), 1)</f>
        <v>3.2580788850654394</v>
      </c>
      <c r="E14" s="7">
        <f>$B14 * IFERROR(VLOOKUP("industry|PM25|Minor restricted activity days", US_national_yearly!$D:$AM, 13, FALSE) / VLOOKUP("industry|PM25|Minor restricted activity days", US_national_yearly!$D:$AM, 10, FALSE), 1)</f>
        <v>3.2660195642214473</v>
      </c>
      <c r="F14" s="7">
        <f>$B14 * IFERROR(VLOOKUP("industry|PM25|Minor restricted activity days", US_national_yearly!$D:$AM, 14, FALSE) / VLOOKUP("industry|PM25|Minor restricted activity days", US_national_yearly!$D:$AM, 10, FALSE), 1)</f>
        <v>3.2739602433774557</v>
      </c>
      <c r="G14" s="7">
        <f>$B14 * IFERROR(VLOOKUP("industry|PM25|Minor restricted activity days", US_national_yearly!$D:$AM, 15, FALSE) / VLOOKUP("industry|PM25|Minor restricted activity days", US_national_yearly!$D:$AM, 10, FALSE), 1)</f>
        <v>3.2856158697904627</v>
      </c>
      <c r="H14" s="7">
        <f>$B14 * IFERROR(VLOOKUP("industry|PM25|Minor restricted activity days", US_national_yearly!$D:$AM, 16, FALSE) / VLOOKUP("industry|PM25|Minor restricted activity days", US_national_yearly!$D:$AM, 10, FALSE), 1)</f>
        <v>3.2972714962034693</v>
      </c>
      <c r="I14" s="7">
        <f>$B14 * IFERROR(VLOOKUP("industry|PM25|Minor restricted activity days", US_national_yearly!$D:$AM, 17, FALSE) / VLOOKUP("industry|PM25|Minor restricted activity days", US_national_yearly!$D:$AM, 10, FALSE), 1)</f>
        <v>3.3170714084981121</v>
      </c>
      <c r="J14" s="7">
        <f>$B14 * IFERROR(VLOOKUP("industry|PM25|Minor restricted activity days", US_national_yearly!$D:$AM, 18, FALSE) / VLOOKUP("industry|PM25|Minor restricted activity days", US_national_yearly!$D:$AM, 10, FALSE), 1)</f>
        <v>3.3368713207927554</v>
      </c>
      <c r="K14" s="7">
        <f>$B14 * IFERROR(VLOOKUP("industry|PM25|Minor restricted activity days", US_national_yearly!$D:$AM, 19, FALSE) / VLOOKUP("industry|PM25|Minor restricted activity days", US_national_yearly!$D:$AM, 10, FALSE), 1)</f>
        <v>3.3566712330873973</v>
      </c>
      <c r="L14" s="7">
        <f>$B14 * IFERROR(VLOOKUP("industry|PM25|Minor restricted activity days", US_national_yearly!$D:$AM, 20, FALSE) / VLOOKUP("industry|PM25|Minor restricted activity days", US_national_yearly!$D:$AM, 10, FALSE), 1)</f>
        <v>3.3764711453820402</v>
      </c>
      <c r="M14" s="7">
        <f>$B14 * IFERROR(VLOOKUP("industry|PM25|Minor restricted activity days", US_national_yearly!$D:$AM, 21, FALSE) / VLOOKUP("industry|PM25|Minor restricted activity days", US_national_yearly!$D:$AM, 10, FALSE), 1)</f>
        <v>3.3962710576766826</v>
      </c>
      <c r="N14" s="7">
        <f>$B14 * IFERROR(VLOOKUP("industry|PM25|Minor restricted activity days", US_national_yearly!$D:$AM, 22, FALSE) / VLOOKUP("industry|PM25|Minor restricted activity days", US_national_yearly!$D:$AM, 10, FALSE), 1)</f>
        <v>3.4233196929329219</v>
      </c>
      <c r="O14" s="7">
        <f>$B14 * IFERROR(VLOOKUP("industry|PM25|Minor restricted activity days", US_national_yearly!$D:$AM, 23, FALSE) / VLOOKUP("industry|PM25|Minor restricted activity days", US_national_yearly!$D:$AM, 10, FALSE), 1)</f>
        <v>3.4503683281891639</v>
      </c>
      <c r="P14" s="7">
        <f>$B14 * IFERROR(VLOOKUP("industry|PM25|Minor restricted activity days", US_national_yearly!$D:$AM, 24, FALSE) / VLOOKUP("industry|PM25|Minor restricted activity days", US_national_yearly!$D:$AM, 10, FALSE), 1)</f>
        <v>3.4774169634454029</v>
      </c>
      <c r="Q14" s="7">
        <f>$B14 * IFERROR(VLOOKUP("industry|PM25|Minor restricted activity days", US_national_yearly!$D:$AM, 25, FALSE) / VLOOKUP("industry|PM25|Minor restricted activity days", US_national_yearly!$D:$AM, 10, FALSE), 1)</f>
        <v>3.5044655987016458</v>
      </c>
      <c r="R14" s="7">
        <f>$B14 * IFERROR(VLOOKUP("industry|PM25|Minor restricted activity days", US_national_yearly!$D:$AM, 26, FALSE) / VLOOKUP("industry|PM25|Minor restricted activity days", US_national_yearly!$D:$AM, 10, FALSE), 1)</f>
        <v>3.5315142339578847</v>
      </c>
      <c r="S14" s="7">
        <f>$B14 * IFERROR(VLOOKUP("industry|PM25|Minor restricted activity days", US_national_yearly!$D:$AM, 27, FALSE) / VLOOKUP("industry|PM25|Minor restricted activity days", US_national_yearly!$D:$AM, 10, FALSE), 1)</f>
        <v>3.5588225466912244</v>
      </c>
      <c r="T14" s="7">
        <f>$B14 * IFERROR(VLOOKUP("industry|PM25|Minor restricted activity days", US_national_yearly!$D:$AM, 28, FALSE) / VLOOKUP("industry|PM25|Minor restricted activity days", US_national_yearly!$D:$AM, 10, FALSE), 1)</f>
        <v>3.5861308594245651</v>
      </c>
      <c r="U14" s="7">
        <f>$B14 * IFERROR(VLOOKUP("industry|PM25|Minor restricted activity days", US_national_yearly!$D:$AM, 29, FALSE) / VLOOKUP("industry|PM25|Minor restricted activity days", US_national_yearly!$D:$AM, 10, FALSE), 1)</f>
        <v>3.6134391721579053</v>
      </c>
      <c r="V14" s="7">
        <f>$B14 * IFERROR(VLOOKUP("industry|PM25|Minor restricted activity days", US_national_yearly!$D:$AM, 30, FALSE) / VLOOKUP("industry|PM25|Minor restricted activity days", US_national_yearly!$D:$AM, 10, FALSE), 1)</f>
        <v>3.6407474848912451</v>
      </c>
      <c r="W14" s="7">
        <f>$B14 * IFERROR(VLOOKUP("industry|PM25|Minor restricted activity days", US_national_yearly!$D:$AM, 31, FALSE) / VLOOKUP("industry|PM25|Minor restricted activity days", US_national_yearly!$D:$AM, 10, FALSE), 1)</f>
        <v>3.6680557976245858</v>
      </c>
      <c r="X14" s="7">
        <f>$B14 * IFERROR(VLOOKUP("industry|PM25|Minor restricted activity days", US_national_yearly!$D:$AM, 32, FALSE) / VLOOKUP("industry|PM25|Minor restricted activity days", US_national_yearly!$D:$AM, 10, FALSE), 1)</f>
        <v>3.6917857212780882</v>
      </c>
      <c r="Y14" s="7">
        <f>$B14 * IFERROR(VLOOKUP("industry|PM25|Minor restricted activity days", US_national_yearly!$D:$AM, 33, FALSE) / VLOOKUP("industry|PM25|Minor restricted activity days", US_national_yearly!$D:$AM, 10, FALSE), 1)</f>
        <v>3.7155156449315916</v>
      </c>
      <c r="Z14" s="7">
        <f>$B14 * IFERROR(VLOOKUP("industry|PM25|Minor restricted activity days", US_national_yearly!$D:$AM, 34, FALSE) / VLOOKUP("industry|PM25|Minor restricted activity days", US_national_yearly!$D:$AM, 10, FALSE), 1)</f>
        <v>3.7392455685850945</v>
      </c>
      <c r="AA14" s="7">
        <f>$B14 * IFERROR(VLOOKUP("industry|PM25|Minor restricted activity days", US_national_yearly!$D:$AM, 35, FALSE) / VLOOKUP("industry|PM25|Minor restricted activity days", US_national_yearly!$D:$AM, 10, FALSE), 1)</f>
        <v>3.7629754922385978</v>
      </c>
      <c r="AB14" s="7">
        <f>$B14 * IFERROR(VLOOKUP("industry|PM25|Minor restricted activity days", US_national_yearly!$D:$AM, 36, FALSE) / VLOOKUP("industry|PM25|Minor restricted activity days", US_national_yearly!$D:$AM, 10, FALSE), 1)</f>
        <v>3.7867054158921012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0.55011889453301677</v>
      </c>
      <c r="C15" s="7">
        <f>$B15 * IFERROR(VLOOKUP("industry|PM25|Work loss days", US_national_yearly!$D:$AM, 11, FALSE) / VLOOKUP("industry|PM25|Work loss days", US_national_yearly!$D:$AM, 10, FALSE), 1)</f>
        <v>0.55182448397853889</v>
      </c>
      <c r="D15" s="7">
        <f>$B15 * IFERROR(VLOOKUP("industry|PM25|Work loss days", US_national_yearly!$D:$AM, 12, FALSE) / VLOOKUP("industry|PM25|Work loss days", US_national_yearly!$D:$AM, 10, FALSE), 1)</f>
        <v>0.55353007342406102</v>
      </c>
      <c r="E15" s="7">
        <f>$B15 * IFERROR(VLOOKUP("industry|PM25|Work loss days", US_national_yearly!$D:$AM, 13, FALSE) / VLOOKUP("industry|PM25|Work loss days", US_national_yearly!$D:$AM, 10, FALSE), 1)</f>
        <v>0.55523566286958292</v>
      </c>
      <c r="F15" s="7">
        <f>$B15 * IFERROR(VLOOKUP("industry|PM25|Work loss days", US_national_yearly!$D:$AM, 14, FALSE) / VLOOKUP("industry|PM25|Work loss days", US_national_yearly!$D:$AM, 10, FALSE), 1)</f>
        <v>0.55694125231510505</v>
      </c>
      <c r="G15" s="7">
        <f>$B15 * IFERROR(VLOOKUP("industry|PM25|Work loss days", US_national_yearly!$D:$AM, 15, FALSE) / VLOOKUP("industry|PM25|Work loss days", US_national_yearly!$D:$AM, 10, FALSE), 1)</f>
        <v>0.55916797401519824</v>
      </c>
      <c r="H15" s="7">
        <f>$B15 * IFERROR(VLOOKUP("industry|PM25|Work loss days", US_national_yearly!$D:$AM, 16, FALSE) / VLOOKUP("industry|PM25|Work loss days", US_national_yearly!$D:$AM, 10, FALSE), 1)</f>
        <v>0.56139469571529144</v>
      </c>
      <c r="I15" s="7">
        <f>$B15 * IFERROR(VLOOKUP("industry|PM25|Work loss days", US_national_yearly!$D:$AM, 17, FALSE) / VLOOKUP("industry|PM25|Work loss days", US_national_yearly!$D:$AM, 10, FALSE), 1)</f>
        <v>0.56465532496917603</v>
      </c>
      <c r="J15" s="7">
        <f>$B15 * IFERROR(VLOOKUP("industry|PM25|Work loss days", US_national_yearly!$D:$AM, 18, FALSE) / VLOOKUP("industry|PM25|Work loss days", US_national_yearly!$D:$AM, 10, FALSE), 1)</f>
        <v>0.56791595422306063</v>
      </c>
      <c r="K15" s="7">
        <f>$B15 * IFERROR(VLOOKUP("industry|PM25|Work loss days", US_national_yearly!$D:$AM, 19, FALSE) / VLOOKUP("industry|PM25|Work loss days", US_national_yearly!$D:$AM, 10, FALSE), 1)</f>
        <v>0.57117658347694511</v>
      </c>
      <c r="L15" s="7">
        <f>$B15 * IFERROR(VLOOKUP("industry|PM25|Work loss days", US_national_yearly!$D:$AM, 20, FALSE) / VLOOKUP("industry|PM25|Work loss days", US_national_yearly!$D:$AM, 10, FALSE), 1)</f>
        <v>0.5744372127308297</v>
      </c>
      <c r="M15" s="7">
        <f>$B15 * IFERROR(VLOOKUP("industry|PM25|Work loss days", US_national_yearly!$D:$AM, 21, FALSE) / VLOOKUP("industry|PM25|Work loss days", US_national_yearly!$D:$AM, 10, FALSE), 1)</f>
        <v>0.5776978419847143</v>
      </c>
      <c r="N15" s="7">
        <f>$B15 * IFERROR(VLOOKUP("industry|PM25|Work loss days", US_national_yearly!$D:$AM, 22, FALSE) / VLOOKUP("industry|PM25|Work loss days", US_national_yearly!$D:$AM, 10, FALSE), 1)</f>
        <v>0.58181232811981343</v>
      </c>
      <c r="O15" s="7">
        <f>$B15 * IFERROR(VLOOKUP("industry|PM25|Work loss days", US_national_yearly!$D:$AM, 23, FALSE) / VLOOKUP("industry|PM25|Work loss days", US_national_yearly!$D:$AM, 10, FALSE), 1)</f>
        <v>0.58592681425491255</v>
      </c>
      <c r="P15" s="7">
        <f>$B15 * IFERROR(VLOOKUP("industry|PM25|Work loss days", US_national_yearly!$D:$AM, 24, FALSE) / VLOOKUP("industry|PM25|Work loss days", US_national_yearly!$D:$AM, 10, FALSE), 1)</f>
        <v>0.59004130039001157</v>
      </c>
      <c r="Q15" s="7">
        <f>$B15 * IFERROR(VLOOKUP("industry|PM25|Work loss days", US_national_yearly!$D:$AM, 25, FALSE) / VLOOKUP("industry|PM25|Work loss days", US_national_yearly!$D:$AM, 10, FALSE), 1)</f>
        <v>0.5941557865251107</v>
      </c>
      <c r="R15" s="7">
        <f>$B15 * IFERROR(VLOOKUP("industry|PM25|Work loss days", US_national_yearly!$D:$AM, 26, FALSE) / VLOOKUP("industry|PM25|Work loss days", US_national_yearly!$D:$AM, 10, FALSE), 1)</f>
        <v>0.59827027266020971</v>
      </c>
      <c r="S15" s="7">
        <f>$B15 * IFERROR(VLOOKUP("industry|PM25|Work loss days", US_national_yearly!$D:$AM, 27, FALSE) / VLOOKUP("industry|PM25|Work loss days", US_national_yearly!$D:$AM, 10, FALSE), 1)</f>
        <v>0.60283265447960788</v>
      </c>
      <c r="T15" s="7">
        <f>$B15 * IFERROR(VLOOKUP("industry|PM25|Work loss days", US_national_yearly!$D:$AM, 28, FALSE) / VLOOKUP("industry|PM25|Work loss days", US_national_yearly!$D:$AM, 10, FALSE), 1)</f>
        <v>0.60739503629900604</v>
      </c>
      <c r="U15" s="7">
        <f>$B15 * IFERROR(VLOOKUP("industry|PM25|Work loss days", US_national_yearly!$D:$AM, 29, FALSE) / VLOOKUP("industry|PM25|Work loss days", US_national_yearly!$D:$AM, 10, FALSE), 1)</f>
        <v>0.61195741811840421</v>
      </c>
      <c r="V15" s="7">
        <f>$B15 * IFERROR(VLOOKUP("industry|PM25|Work loss days", US_national_yearly!$D:$AM, 30, FALSE) / VLOOKUP("industry|PM25|Work loss days", US_national_yearly!$D:$AM, 10, FALSE), 1)</f>
        <v>0.61651979993780226</v>
      </c>
      <c r="W15" s="7">
        <f>$B15 * IFERROR(VLOOKUP("industry|PM25|Work loss days", US_national_yearly!$D:$AM, 31, FALSE) / VLOOKUP("industry|PM25|Work loss days", US_national_yearly!$D:$AM, 10, FALSE), 1)</f>
        <v>0.62108218175720054</v>
      </c>
      <c r="X15" s="7">
        <f>$B15 * IFERROR(VLOOKUP("industry|PM25|Work loss days", US_national_yearly!$D:$AM, 32, FALSE) / VLOOKUP("industry|PM25|Work loss days", US_national_yearly!$D:$AM, 10, FALSE), 1)</f>
        <v>0.62513645791149741</v>
      </c>
      <c r="Y15" s="7">
        <f>$B15 * IFERROR(VLOOKUP("industry|PM25|Work loss days", US_national_yearly!$D:$AM, 33, FALSE) / VLOOKUP("industry|PM25|Work loss days", US_national_yearly!$D:$AM, 10, FALSE), 1)</f>
        <v>0.6291907340657944</v>
      </c>
      <c r="Z15" s="7">
        <f>$B15 * IFERROR(VLOOKUP("industry|PM25|Work loss days", US_national_yearly!$D:$AM, 34, FALSE) / VLOOKUP("industry|PM25|Work loss days", US_national_yearly!$D:$AM, 10, FALSE), 1)</f>
        <v>0.63324501022009128</v>
      </c>
      <c r="AA15" s="7">
        <f>$B15 * IFERROR(VLOOKUP("industry|PM25|Work loss days", US_national_yearly!$D:$AM, 35, FALSE) / VLOOKUP("industry|PM25|Work loss days", US_national_yearly!$D:$AM, 10, FALSE), 1)</f>
        <v>0.63729928637438815</v>
      </c>
      <c r="AB15" s="7">
        <f>$B15 * IFERROR(VLOOKUP("industry|PM25|Work loss days", US_national_yearly!$D:$AM, 36, FALSE) / VLOOKUP("industry|PM25|Work loss days", US_national_yearly!$D:$AM, 10, FALSE), 1)</f>
        <v>0.64135356252868514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9.4629004618126912E-4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9.7459418814850737E-4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1.0028983301157456E-3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1.031202472082984E-3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1.0595066140502219E-3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1.0866340939996687E-3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1.1137615739491152E-3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1.1370528927856852E-3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1.1603442116222549E-3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1.183635530458825E-3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1.206926849295395E-3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1.2302181681319649E-3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1.2457768569265081E-3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1.2613355457210512E-3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1.2768942345155944E-3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1.2924529233101375E-3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1.3080116121046807E-3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1.3163475802541839E-3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1.3246835484036872E-3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1.3330195165531908E-3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1.3413554847026938E-3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1.349691452852197E-3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1.3554157167980719E-3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1.3611399807439465E-3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1.3668642446898211E-3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1.3725885086356955E-3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1.3783127725815701E-3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5.1488380735345695E-5</v>
      </c>
      <c r="C2" s="7">
        <f>$B2 * IFERROR(VLOOKUP("industry|NOx|Premature mortality", US_national_yearly!$D:$AM, 11, FALSE) / VLOOKUP("industry|NOx|Premature mortality", US_national_yearly!$D:$AM, 10, FALSE), 1)</f>
        <v>5.224972590668751E-5</v>
      </c>
      <c r="D2" s="7">
        <f>$B2 * IFERROR(VLOOKUP("industry|NOx|Premature mortality", US_national_yearly!$D:$AM, 12, FALSE) / VLOOKUP("industry|NOx|Premature mortality", US_national_yearly!$D:$AM, 10, FALSE), 1)</f>
        <v>5.3011071078029345E-5</v>
      </c>
      <c r="E2" s="7">
        <f>$B2 * IFERROR(VLOOKUP("industry|NOx|Premature mortality", US_national_yearly!$D:$AM, 13, FALSE) / VLOOKUP("industry|NOx|Premature mortality", US_national_yearly!$D:$AM, 10, FALSE), 1)</f>
        <v>5.3772416249371159E-5</v>
      </c>
      <c r="F2" s="7">
        <f>$B2 * IFERROR(VLOOKUP("industry|NOx|Premature mortality", US_national_yearly!$D:$AM, 14, FALSE) / VLOOKUP("industry|NOx|Premature mortality", US_national_yearly!$D:$AM, 10, FALSE), 1)</f>
        <v>5.4533761420712987E-5</v>
      </c>
      <c r="G2" s="7">
        <f>$B2 * IFERROR(VLOOKUP("industry|NOx|Premature mortality", US_national_yearly!$D:$AM, 15, FALSE) / VLOOKUP("industry|NOx|Premature mortality", US_national_yearly!$D:$AM, 10, FALSE), 1)</f>
        <v>5.5899138423365104E-5</v>
      </c>
      <c r="H2" s="7">
        <f>$B2 * IFERROR(VLOOKUP("industry|NOx|Premature mortality", US_national_yearly!$D:$AM, 16, FALSE) / VLOOKUP("industry|NOx|Premature mortality", US_national_yearly!$D:$AM, 10, FALSE), 1)</f>
        <v>5.7264515426017214E-5</v>
      </c>
      <c r="I2" s="7">
        <f>$B2 * IFERROR(VLOOKUP("industry|NOx|Premature mortality", US_national_yearly!$D:$AM, 17, FALSE) / VLOOKUP("industry|NOx|Premature mortality", US_national_yearly!$D:$AM, 10, FALSE), 1)</f>
        <v>5.8150281430495414E-5</v>
      </c>
      <c r="J2" s="7">
        <f>$B2 * IFERROR(VLOOKUP("industry|NOx|Premature mortality", US_national_yearly!$D:$AM, 18, FALSE) / VLOOKUP("industry|NOx|Premature mortality", US_national_yearly!$D:$AM, 10, FALSE), 1)</f>
        <v>5.9036047434973615E-5</v>
      </c>
      <c r="K2" s="7">
        <f>$B2 * IFERROR(VLOOKUP("industry|NOx|Premature mortality", US_national_yearly!$D:$AM, 19, FALSE) / VLOOKUP("industry|NOx|Premature mortality", US_national_yearly!$D:$AM, 10, FALSE), 1)</f>
        <v>5.9921813439451828E-5</v>
      </c>
      <c r="L2" s="7">
        <f>$B2 * IFERROR(VLOOKUP("industry|NOx|Premature mortality", US_national_yearly!$D:$AM, 20, FALSE) / VLOOKUP("industry|NOx|Premature mortality", US_national_yearly!$D:$AM, 10, FALSE), 1)</f>
        <v>6.0807579443930028E-5</v>
      </c>
      <c r="M2" s="7">
        <f>$B2 * IFERROR(VLOOKUP("industry|NOx|Premature mortality", US_national_yearly!$D:$AM, 21, FALSE) / VLOOKUP("industry|NOx|Premature mortality", US_national_yearly!$D:$AM, 10, FALSE), 1)</f>
        <v>6.1693345448408221E-5</v>
      </c>
      <c r="N2" s="7">
        <f>$B2 * IFERROR(VLOOKUP("industry|NOx|Premature mortality", US_national_yearly!$D:$AM, 22, FALSE) / VLOOKUP("industry|NOx|Premature mortality", US_national_yearly!$D:$AM, 10, FALSE), 1)</f>
        <v>6.235247093974185E-5</v>
      </c>
      <c r="O2" s="7">
        <f>$B2 * IFERROR(VLOOKUP("industry|NOx|Premature mortality", US_national_yearly!$D:$AM, 23, FALSE) / VLOOKUP("industry|NOx|Premature mortality", US_national_yearly!$D:$AM, 10, FALSE), 1)</f>
        <v>6.3011596431075451E-5</v>
      </c>
      <c r="P2" s="7">
        <f>$B2 * IFERROR(VLOOKUP("industry|NOx|Premature mortality", US_national_yearly!$D:$AM, 24, FALSE) / VLOOKUP("industry|NOx|Premature mortality", US_national_yearly!$D:$AM, 10, FALSE), 1)</f>
        <v>6.3670721922409051E-5</v>
      </c>
      <c r="Q2" s="7">
        <f>$B2 * IFERROR(VLOOKUP("industry|NOx|Premature mortality", US_national_yearly!$D:$AM, 25, FALSE) / VLOOKUP("industry|NOx|Premature mortality", US_national_yearly!$D:$AM, 10, FALSE), 1)</f>
        <v>6.4329847413742666E-5</v>
      </c>
      <c r="R2" s="7">
        <f>$B2 * IFERROR(VLOOKUP("industry|NOx|Premature mortality", US_national_yearly!$D:$AM, 26, FALSE) / VLOOKUP("industry|NOx|Premature mortality", US_national_yearly!$D:$AM, 10, FALSE), 1)</f>
        <v>6.4988972905076267E-5</v>
      </c>
      <c r="S2" s="7">
        <f>$B2 * IFERROR(VLOOKUP("industry|NOx|Premature mortality", US_national_yearly!$D:$AM, 27, FALSE) / VLOOKUP("industry|NOx|Premature mortality", US_national_yearly!$D:$AM, 10, FALSE), 1)</f>
        <v>6.5295901528188721E-5</v>
      </c>
      <c r="T2" s="7">
        <f>$B2 * IFERROR(VLOOKUP("industry|NOx|Premature mortality", US_national_yearly!$D:$AM, 28, FALSE) / VLOOKUP("industry|NOx|Premature mortality", US_national_yearly!$D:$AM, 10, FALSE), 1)</f>
        <v>6.5602830151301162E-5</v>
      </c>
      <c r="U2" s="7">
        <f>$B2 * IFERROR(VLOOKUP("industry|NOx|Premature mortality", US_national_yearly!$D:$AM, 29, FALSE) / VLOOKUP("industry|NOx|Premature mortality", US_national_yearly!$D:$AM, 10, FALSE), 1)</f>
        <v>6.5909758774413616E-5</v>
      </c>
      <c r="V2" s="7">
        <f>$B2 * IFERROR(VLOOKUP("industry|NOx|Premature mortality", US_national_yearly!$D:$AM, 30, FALSE) / VLOOKUP("industry|NOx|Premature mortality", US_national_yearly!$D:$AM, 10, FALSE), 1)</f>
        <v>6.6216687397526057E-5</v>
      </c>
      <c r="W2" s="7">
        <f>$B2 * IFERROR(VLOOKUP("industry|NOx|Premature mortality", US_national_yearly!$D:$AM, 31, FALSE) / VLOOKUP("industry|NOx|Premature mortality", US_national_yearly!$D:$AM, 10, FALSE), 1)</f>
        <v>6.6523616020638498E-5</v>
      </c>
      <c r="X2" s="7">
        <f>$B2 * IFERROR(VLOOKUP("industry|NOx|Premature mortality", US_national_yearly!$D:$AM, 32, FALSE) / VLOOKUP("industry|NOx|Premature mortality", US_national_yearly!$D:$AM, 10, FALSE), 1)</f>
        <v>6.6547072487628582E-5</v>
      </c>
      <c r="Y2" s="7">
        <f>$B2 * IFERROR(VLOOKUP("industry|NOx|Premature mortality", US_national_yearly!$D:$AM, 33, FALSE) / VLOOKUP("industry|NOx|Premature mortality", US_national_yearly!$D:$AM, 10, FALSE), 1)</f>
        <v>6.6570528954618667E-5</v>
      </c>
      <c r="Z2" s="7">
        <f>$B2 * IFERROR(VLOOKUP("industry|NOx|Premature mortality", US_national_yearly!$D:$AM, 34, FALSE) / VLOOKUP("industry|NOx|Premature mortality", US_national_yearly!$D:$AM, 10, FALSE), 1)</f>
        <v>6.6593985421608764E-5</v>
      </c>
      <c r="AA2" s="7">
        <f>$B2 * IFERROR(VLOOKUP("industry|NOx|Premature mortality", US_national_yearly!$D:$AM, 35, FALSE) / VLOOKUP("industry|NOx|Premature mortality", US_national_yearly!$D:$AM, 10, FALSE), 1)</f>
        <v>6.6617441888598849E-5</v>
      </c>
      <c r="AB2" s="7">
        <f>$B2 * IFERROR(VLOOKUP("industry|NOx|Premature mortality", US_national_yearly!$D:$AM, 36, FALSE) / VLOOKUP("industry|NOx|Premature mortality", US_national_yearly!$D:$AM, 10, FALSE), 1)</f>
        <v>6.6640898355588933E-5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1.5643746063056051E-7</v>
      </c>
      <c r="C3" s="7">
        <f>$B3 * IFERROR(VLOOKUP("industry|NOx|Infant mortality", US_national_yearly!$D:$AM, 11, FALSE) / VLOOKUP("industry|NOx|Infant mortality", US_national_yearly!$D:$AM, 10, FALSE), 1)</f>
        <v>1.5493928528622817E-7</v>
      </c>
      <c r="D3" s="7">
        <f>$B3 * IFERROR(VLOOKUP("industry|NOx|Infant mortality", US_national_yearly!$D:$AM, 12, FALSE) / VLOOKUP("industry|NOx|Infant mortality", US_national_yearly!$D:$AM, 10, FALSE), 1)</f>
        <v>1.5344110994189582E-7</v>
      </c>
      <c r="E3" s="7">
        <f>$B3 * IFERROR(VLOOKUP("industry|NOx|Infant mortality", US_national_yearly!$D:$AM, 13, FALSE) / VLOOKUP("industry|NOx|Infant mortality", US_national_yearly!$D:$AM, 10, FALSE), 1)</f>
        <v>1.519429345975635E-7</v>
      </c>
      <c r="F3" s="7">
        <f>$B3 * IFERROR(VLOOKUP("industry|NOx|Infant mortality", US_national_yearly!$D:$AM, 14, FALSE) / VLOOKUP("industry|NOx|Infant mortality", US_national_yearly!$D:$AM, 10, FALSE), 1)</f>
        <v>1.5044475925323116E-7</v>
      </c>
      <c r="G3" s="7">
        <f>$B3 * IFERROR(VLOOKUP("industry|NOx|Infant mortality", US_national_yearly!$D:$AM, 15, FALSE) / VLOOKUP("industry|NOx|Infant mortality", US_national_yearly!$D:$AM, 10, FALSE), 1)</f>
        <v>9.9788238919831574E-8</v>
      </c>
      <c r="H3" s="7">
        <f>$B3 * IFERROR(VLOOKUP("industry|NOx|Infant mortality", US_national_yearly!$D:$AM, 16, FALSE) / VLOOKUP("industry|NOx|Infant mortality", US_national_yearly!$D:$AM, 10, FALSE), 1)</f>
        <v>4.913171858643202E-8</v>
      </c>
      <c r="I3" s="7">
        <f>$B3 * IFERROR(VLOOKUP("industry|NOx|Infant mortality", US_national_yearly!$D:$AM, 17, FALSE) / VLOOKUP("industry|NOx|Infant mortality", US_national_yearly!$D:$AM, 10, FALSE), 1)</f>
        <v>4.8777500108684096E-8</v>
      </c>
      <c r="J3" s="7">
        <f>$B3 * IFERROR(VLOOKUP("industry|NOx|Infant mortality", US_national_yearly!$D:$AM, 18, FALSE) / VLOOKUP("industry|NOx|Infant mortality", US_national_yearly!$D:$AM, 10, FALSE), 1)</f>
        <v>4.8423281630936178E-8</v>
      </c>
      <c r="K3" s="7">
        <f>$B3 * IFERROR(VLOOKUP("industry|NOx|Infant mortality", US_national_yearly!$D:$AM, 19, FALSE) / VLOOKUP("industry|NOx|Infant mortality", US_national_yearly!$D:$AM, 10, FALSE), 1)</f>
        <v>4.8069063153188253E-8</v>
      </c>
      <c r="L3" s="7">
        <f>$B3 * IFERROR(VLOOKUP("industry|NOx|Infant mortality", US_national_yearly!$D:$AM, 20, FALSE) / VLOOKUP("industry|NOx|Infant mortality", US_national_yearly!$D:$AM, 10, FALSE), 1)</f>
        <v>4.7714844675440322E-8</v>
      </c>
      <c r="M3" s="7">
        <f>$B3 * IFERROR(VLOOKUP("industry|NOx|Infant mortality", US_national_yearly!$D:$AM, 21, FALSE) / VLOOKUP("industry|NOx|Infant mortality", US_national_yearly!$D:$AM, 10, FALSE), 1)</f>
        <v>4.7360626197692397E-8</v>
      </c>
      <c r="N3" s="7">
        <f>$B3 * IFERROR(VLOOKUP("industry|NOx|Infant mortality", US_national_yearly!$D:$AM, 22, FALSE) / VLOOKUP("industry|NOx|Infant mortality", US_national_yearly!$D:$AM, 10, FALSE), 1)</f>
        <v>4.7121969765105125E-8</v>
      </c>
      <c r="O3" s="7">
        <f>$B3 * IFERROR(VLOOKUP("industry|NOx|Infant mortality", US_national_yearly!$D:$AM, 23, FALSE) / VLOOKUP("industry|NOx|Infant mortality", US_national_yearly!$D:$AM, 10, FALSE), 1)</f>
        <v>4.6883313332517846E-8</v>
      </c>
      <c r="P3" s="7">
        <f>$B3 * IFERROR(VLOOKUP("industry|NOx|Infant mortality", US_national_yearly!$D:$AM, 24, FALSE) / VLOOKUP("industry|NOx|Infant mortality", US_national_yearly!$D:$AM, 10, FALSE), 1)</f>
        <v>4.6644656899930573E-8</v>
      </c>
      <c r="Q3" s="7">
        <f>$B3 * IFERROR(VLOOKUP("industry|NOx|Infant mortality", US_national_yearly!$D:$AM, 25, FALSE) / VLOOKUP("industry|NOx|Infant mortality", US_national_yearly!$D:$AM, 10, FALSE), 1)</f>
        <v>4.6406000467343307E-8</v>
      </c>
      <c r="R3" s="7">
        <f>$B3 * IFERROR(VLOOKUP("industry|NOx|Infant mortality", US_national_yearly!$D:$AM, 26, FALSE) / VLOOKUP("industry|NOx|Infant mortality", US_national_yearly!$D:$AM, 10, FALSE), 1)</f>
        <v>4.6167344034756034E-8</v>
      </c>
      <c r="S3" s="7">
        <f>$B3 * IFERROR(VLOOKUP("industry|NOx|Infant mortality", US_national_yearly!$D:$AM, 27, FALSE) / VLOOKUP("industry|NOx|Infant mortality", US_national_yearly!$D:$AM, 10, FALSE), 1)</f>
        <v>4.5883943787776396E-8</v>
      </c>
      <c r="T3" s="7">
        <f>$B3 * IFERROR(VLOOKUP("industry|NOx|Infant mortality", US_national_yearly!$D:$AM, 28, FALSE) / VLOOKUP("industry|NOx|Infant mortality", US_national_yearly!$D:$AM, 10, FALSE), 1)</f>
        <v>4.5600543540796757E-8</v>
      </c>
      <c r="U3" s="7">
        <f>$B3 * IFERROR(VLOOKUP("industry|NOx|Infant mortality", US_national_yearly!$D:$AM, 29, FALSE) / VLOOKUP("industry|NOx|Infant mortality", US_national_yearly!$D:$AM, 10, FALSE), 1)</f>
        <v>4.5317143293817118E-8</v>
      </c>
      <c r="V3" s="7">
        <f>$B3 * IFERROR(VLOOKUP("industry|NOx|Infant mortality", US_national_yearly!$D:$AM, 30, FALSE) / VLOOKUP("industry|NOx|Infant mortality", US_national_yearly!$D:$AM, 10, FALSE), 1)</f>
        <v>4.5033743046837486E-8</v>
      </c>
      <c r="W3" s="7">
        <f>$B3 * IFERROR(VLOOKUP("industry|NOx|Infant mortality", US_national_yearly!$D:$AM, 31, FALSE) / VLOOKUP("industry|NOx|Infant mortality", US_national_yearly!$D:$AM, 10, FALSE), 1)</f>
        <v>4.4750342799857854E-8</v>
      </c>
      <c r="X3" s="7">
        <f>$B3 * IFERROR(VLOOKUP("industry|NOx|Infant mortality", US_national_yearly!$D:$AM, 32, FALSE) / VLOOKUP("industry|NOx|Infant mortality", US_national_yearly!$D:$AM, 10, FALSE), 1)</f>
        <v>4.445274116016646E-8</v>
      </c>
      <c r="Y3" s="7">
        <f>$B3 * IFERROR(VLOOKUP("industry|NOx|Infant mortality", US_national_yearly!$D:$AM, 33, FALSE) / VLOOKUP("industry|NOx|Infant mortality", US_national_yearly!$D:$AM, 10, FALSE), 1)</f>
        <v>4.415513952047508E-8</v>
      </c>
      <c r="Z3" s="7">
        <f>$B3 * IFERROR(VLOOKUP("industry|NOx|Infant mortality", US_national_yearly!$D:$AM, 34, FALSE) / VLOOKUP("industry|NOx|Infant mortality", US_national_yearly!$D:$AM, 10, FALSE), 1)</f>
        <v>4.3857537880783699E-8</v>
      </c>
      <c r="AA3" s="7">
        <f>$B3 * IFERROR(VLOOKUP("industry|NOx|Infant mortality", US_national_yearly!$D:$AM, 35, FALSE) / VLOOKUP("industry|NOx|Infant mortality", US_national_yearly!$D:$AM, 10, FALSE), 1)</f>
        <v>4.3559936241092318E-8</v>
      </c>
      <c r="AB3" s="7">
        <f>$B3 * IFERROR(VLOOKUP("industry|NOx|Infant mortality", US_national_yearly!$D:$AM, 36, FALSE) / VLOOKUP("industry|NOx|Infant mortality", US_national_yearly!$D:$AM, 10, FALSE), 1)</f>
        <v>4.3262334601400938E-8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1.6168344514203535E-4</v>
      </c>
      <c r="C6" s="7">
        <f>$B6 * IFERROR(VLOOKUP("industry|NOx|Asthma symptoms cough", US_national_yearly!$D:$AM, 11, FALSE) / VLOOKUP("industry|NOx|Asthma symptoms cough", US_national_yearly!$D:$AM, 10, FALSE), 1)</f>
        <v>1.6389532953368729E-4</v>
      </c>
      <c r="D6" s="7">
        <f>$B6 * IFERROR(VLOOKUP("industry|NOx|Asthma symptoms cough", US_national_yearly!$D:$AM, 12, FALSE) / VLOOKUP("industry|NOx|Asthma symptoms cough", US_national_yearly!$D:$AM, 10, FALSE), 1)</f>
        <v>1.6610721392533919E-4</v>
      </c>
      <c r="E6" s="7">
        <f>$B6 * IFERROR(VLOOKUP("industry|NOx|Asthma symptoms cough", US_national_yearly!$D:$AM, 13, FALSE) / VLOOKUP("industry|NOx|Asthma symptoms cough", US_national_yearly!$D:$AM, 10, FALSE), 1)</f>
        <v>1.6831909831699113E-4</v>
      </c>
      <c r="F6" s="7">
        <f>$B6 * IFERROR(VLOOKUP("industry|NOx|Asthma symptoms cough", US_national_yearly!$D:$AM, 14, FALSE) / VLOOKUP("industry|NOx|Asthma symptoms cough", US_national_yearly!$D:$AM, 10, FALSE), 1)</f>
        <v>1.7053098270864307E-4</v>
      </c>
      <c r="G6" s="7">
        <f>$B6 * IFERROR(VLOOKUP("industry|NOx|Asthma symptoms cough", US_national_yearly!$D:$AM, 15, FALSE) / VLOOKUP("industry|NOx|Asthma symptoms cough", US_national_yearly!$D:$AM, 10, FALSE), 1)</f>
        <v>1.7230457084464678E-4</v>
      </c>
      <c r="H6" s="7">
        <f>$B6 * IFERROR(VLOOKUP("industry|NOx|Asthma symptoms cough", US_national_yearly!$D:$AM, 16, FALSE) / VLOOKUP("industry|NOx|Asthma symptoms cough", US_national_yearly!$D:$AM, 10, FALSE), 1)</f>
        <v>1.7407815898065051E-4</v>
      </c>
      <c r="I6" s="7">
        <f>$B6 * IFERROR(VLOOKUP("industry|NOx|Asthma symptoms cough", US_national_yearly!$D:$AM, 17, FALSE) / VLOOKUP("industry|NOx|Asthma symptoms cough", US_national_yearly!$D:$AM, 10, FALSE), 1)</f>
        <v>1.7469538337495726E-4</v>
      </c>
      <c r="J6" s="7">
        <f>$B6 * IFERROR(VLOOKUP("industry|NOx|Asthma symptoms cough", US_national_yearly!$D:$AM, 18, FALSE) / VLOOKUP("industry|NOx|Asthma symptoms cough", US_national_yearly!$D:$AM, 10, FALSE), 1)</f>
        <v>1.7531260776926407E-4</v>
      </c>
      <c r="K6" s="7">
        <f>$B6 * IFERROR(VLOOKUP("industry|NOx|Asthma symptoms cough", US_national_yearly!$D:$AM, 19, FALSE) / VLOOKUP("industry|NOx|Asthma symptoms cough", US_national_yearly!$D:$AM, 10, FALSE), 1)</f>
        <v>1.7592983216357082E-4</v>
      </c>
      <c r="L6" s="7">
        <f>$B6 * IFERROR(VLOOKUP("industry|NOx|Asthma symptoms cough", US_national_yearly!$D:$AM, 20, FALSE) / VLOOKUP("industry|NOx|Asthma symptoms cough", US_national_yearly!$D:$AM, 10, FALSE), 1)</f>
        <v>1.7654705655787759E-4</v>
      </c>
      <c r="M6" s="7">
        <f>$B6 * IFERROR(VLOOKUP("industry|NOx|Asthma symptoms cough", US_national_yearly!$D:$AM, 21, FALSE) / VLOOKUP("industry|NOx|Asthma symptoms cough", US_national_yearly!$D:$AM, 10, FALSE), 1)</f>
        <v>1.7716428095218437E-4</v>
      </c>
      <c r="N6" s="7">
        <f>$B6 * IFERROR(VLOOKUP("industry|NOx|Asthma symptoms cough", US_national_yearly!$D:$AM, 22, FALSE) / VLOOKUP("industry|NOx|Asthma symptoms cough", US_national_yearly!$D:$AM, 10, FALSE), 1)</f>
        <v>1.7786885944769235E-4</v>
      </c>
      <c r="O6" s="7">
        <f>$B6 * IFERROR(VLOOKUP("industry|NOx|Asthma symptoms cough", US_national_yearly!$D:$AM, 23, FALSE) / VLOOKUP("industry|NOx|Asthma symptoms cough", US_national_yearly!$D:$AM, 10, FALSE), 1)</f>
        <v>1.7857343794320027E-4</v>
      </c>
      <c r="P6" s="7">
        <f>$B6 * IFERROR(VLOOKUP("industry|NOx|Asthma symptoms cough", US_national_yearly!$D:$AM, 24, FALSE) / VLOOKUP("industry|NOx|Asthma symptoms cough", US_national_yearly!$D:$AM, 10, FALSE), 1)</f>
        <v>1.7927801643870825E-4</v>
      </c>
      <c r="Q6" s="7">
        <f>$B6 * IFERROR(VLOOKUP("industry|NOx|Asthma symptoms cough", US_national_yearly!$D:$AM, 25, FALSE) / VLOOKUP("industry|NOx|Asthma symptoms cough", US_national_yearly!$D:$AM, 10, FALSE), 1)</f>
        <v>1.7998259493421623E-4</v>
      </c>
      <c r="R6" s="7">
        <f>$B6 * IFERROR(VLOOKUP("industry|NOx|Asthma symptoms cough", US_national_yearly!$D:$AM, 26, FALSE) / VLOOKUP("industry|NOx|Asthma symptoms cough", US_national_yearly!$D:$AM, 10, FALSE), 1)</f>
        <v>1.8068717342972418E-4</v>
      </c>
      <c r="S6" s="7">
        <f>$B6 * IFERROR(VLOOKUP("industry|NOx|Asthma symptoms cough", US_national_yearly!$D:$AM, 27, FALSE) / VLOOKUP("industry|NOx|Asthma symptoms cough", US_national_yearly!$D:$AM, 10, FALSE), 1)</f>
        <v>1.8159604851414264E-4</v>
      </c>
      <c r="T6" s="7">
        <f>$B6 * IFERROR(VLOOKUP("industry|NOx|Asthma symptoms cough", US_national_yearly!$D:$AM, 28, FALSE) / VLOOKUP("industry|NOx|Asthma symptoms cough", US_national_yearly!$D:$AM, 10, FALSE), 1)</f>
        <v>1.825049235985611E-4</v>
      </c>
      <c r="U6" s="7">
        <f>$B6 * IFERROR(VLOOKUP("industry|NOx|Asthma symptoms cough", US_national_yearly!$D:$AM, 29, FALSE) / VLOOKUP("industry|NOx|Asthma symptoms cough", US_national_yearly!$D:$AM, 10, FALSE), 1)</f>
        <v>1.8341379868297953E-4</v>
      </c>
      <c r="V6" s="7">
        <f>$B6 * IFERROR(VLOOKUP("industry|NOx|Asthma symptoms cough", US_national_yearly!$D:$AM, 30, FALSE) / VLOOKUP("industry|NOx|Asthma symptoms cough", US_national_yearly!$D:$AM, 10, FALSE), 1)</f>
        <v>1.8432267376739797E-4</v>
      </c>
      <c r="W6" s="7">
        <f>$B6 * IFERROR(VLOOKUP("industry|NOx|Asthma symptoms cough", US_national_yearly!$D:$AM, 31, FALSE) / VLOOKUP("industry|NOx|Asthma symptoms cough", US_national_yearly!$D:$AM, 10, FALSE), 1)</f>
        <v>1.8523154885181646E-4</v>
      </c>
      <c r="X6" s="7">
        <f>$B6 * IFERROR(VLOOKUP("industry|NOx|Asthma symptoms cough", US_national_yearly!$D:$AM, 32, FALSE) / VLOOKUP("industry|NOx|Asthma symptoms cough", US_national_yearly!$D:$AM, 10, FALSE), 1)</f>
        <v>1.860741459463098E-4</v>
      </c>
      <c r="Y6" s="7">
        <f>$B6 * IFERROR(VLOOKUP("industry|NOx|Asthma symptoms cough", US_national_yearly!$D:$AM, 33, FALSE) / VLOOKUP("industry|NOx|Asthma symptoms cough", US_national_yearly!$D:$AM, 10, FALSE), 1)</f>
        <v>1.8691674304080315E-4</v>
      </c>
      <c r="Z6" s="7">
        <f>$B6 * IFERROR(VLOOKUP("industry|NOx|Asthma symptoms cough", US_national_yearly!$D:$AM, 34, FALSE) / VLOOKUP("industry|NOx|Asthma symptoms cough", US_national_yearly!$D:$AM, 10, FALSE), 1)</f>
        <v>1.8775934013529649E-4</v>
      </c>
      <c r="AA6" s="7">
        <f>$B6 * IFERROR(VLOOKUP("industry|NOx|Asthma symptoms cough", US_national_yearly!$D:$AM, 35, FALSE) / VLOOKUP("industry|NOx|Asthma symptoms cough", US_national_yearly!$D:$AM, 10, FALSE), 1)</f>
        <v>1.8860193722978981E-4</v>
      </c>
      <c r="AB6" s="7">
        <f>$B6 * IFERROR(VLOOKUP("industry|NOx|Asthma symptoms cough", US_national_yearly!$D:$AM, 36, FALSE) / VLOOKUP("industry|NOx|Asthma symptoms cough", US_national_yearly!$D:$AM, 10, FALSE), 1)</f>
        <v>1.8944453432428318E-4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2.1773034196824513E-4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2.2070896691988825E-4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2.2368759187153136E-4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2.2666621682317447E-4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2.2964484177481764E-4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2.3203323688598772E-4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2.3442163199715785E-4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2.3525281466125288E-4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2.360839973253479E-4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2.3691517998944295E-4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2.3774636265353808E-4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2.3857754531763311E-4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2.3952636302151622E-4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2.404751807253993E-4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2.4142399842928247E-4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2.4237281613316561E-4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2.4332163383704872E-4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2.4454556669871403E-4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2.457694995603794E-4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2.4699343242204472E-4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2.4821736528371008E-4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2.494412981453754E-4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2.5057597802552689E-4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2.5171065790567838E-4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2.5284533778582982E-4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2.5398001766598131E-4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2.551146975461328E-4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3.326546276782368E-4</v>
      </c>
      <c r="C8" s="7">
        <f>$B8 * IFERROR(VLOOKUP("industry|NOx|Asthma symptoms wheeze", US_national_yearly!$D:$AM, 11, FALSE) / VLOOKUP("industry|NOx|Asthma symptoms wheeze", US_national_yearly!$D:$AM, 10, FALSE), 1)</f>
        <v>3.372054558636606E-4</v>
      </c>
      <c r="D8" s="7">
        <f>$B8 * IFERROR(VLOOKUP("industry|NOx|Asthma symptoms wheeze", US_national_yearly!$D:$AM, 12, FALSE) / VLOOKUP("industry|NOx|Asthma symptoms wheeze", US_national_yearly!$D:$AM, 10, FALSE), 1)</f>
        <v>3.4175628404908446E-4</v>
      </c>
      <c r="E8" s="7">
        <f>$B8 * IFERROR(VLOOKUP("industry|NOx|Asthma symptoms wheeze", US_national_yearly!$D:$AM, 13, FALSE) / VLOOKUP("industry|NOx|Asthma symptoms wheeze", US_national_yearly!$D:$AM, 10, FALSE), 1)</f>
        <v>3.4630711223450827E-4</v>
      </c>
      <c r="F8" s="7">
        <f>$B8 * IFERROR(VLOOKUP("industry|NOx|Asthma symptoms wheeze", US_national_yearly!$D:$AM, 14, FALSE) / VLOOKUP("industry|NOx|Asthma symptoms wheeze", US_national_yearly!$D:$AM, 10, FALSE), 1)</f>
        <v>3.5085794041993202E-4</v>
      </c>
      <c r="G8" s="7">
        <f>$B8 * IFERROR(VLOOKUP("industry|NOx|Asthma symptoms wheeze", US_national_yearly!$D:$AM, 15, FALSE) / VLOOKUP("industry|NOx|Asthma symptoms wheeze", US_national_yearly!$D:$AM, 10, FALSE), 1)</f>
        <v>3.5450699862169227E-4</v>
      </c>
      <c r="H8" s="7">
        <f>$B8 * IFERROR(VLOOKUP("industry|NOx|Asthma symptoms wheeze", US_national_yearly!$D:$AM, 16, FALSE) / VLOOKUP("industry|NOx|Asthma symptoms wheeze", US_national_yearly!$D:$AM, 10, FALSE), 1)</f>
        <v>3.581560568234524E-4</v>
      </c>
      <c r="I8" s="7">
        <f>$B8 * IFERROR(VLOOKUP("industry|NOx|Asthma symptoms wheeze", US_national_yearly!$D:$AM, 17, FALSE) / VLOOKUP("industry|NOx|Asthma symptoms wheeze", US_national_yearly!$D:$AM, 10, FALSE), 1)</f>
        <v>3.5942596142787765E-4</v>
      </c>
      <c r="J8" s="7">
        <f>$B8 * IFERROR(VLOOKUP("industry|NOx|Asthma symptoms wheeze", US_national_yearly!$D:$AM, 18, FALSE) / VLOOKUP("industry|NOx|Asthma symptoms wheeze", US_national_yearly!$D:$AM, 10, FALSE), 1)</f>
        <v>3.6069586603230285E-4</v>
      </c>
      <c r="K8" s="7">
        <f>$B8 * IFERROR(VLOOKUP("industry|NOx|Asthma symptoms wheeze", US_national_yearly!$D:$AM, 19, FALSE) / VLOOKUP("industry|NOx|Asthma symptoms wheeze", US_national_yearly!$D:$AM, 10, FALSE), 1)</f>
        <v>3.619657706367281E-4</v>
      </c>
      <c r="L8" s="7">
        <f>$B8 * IFERROR(VLOOKUP("industry|NOx|Asthma symptoms wheeze", US_national_yearly!$D:$AM, 20, FALSE) / VLOOKUP("industry|NOx|Asthma symptoms wheeze", US_national_yearly!$D:$AM, 10, FALSE), 1)</f>
        <v>3.6323567524115325E-4</v>
      </c>
      <c r="M8" s="7">
        <f>$B8 * IFERROR(VLOOKUP("industry|NOx|Asthma symptoms wheeze", US_national_yearly!$D:$AM, 21, FALSE) / VLOOKUP("industry|NOx|Asthma symptoms wheeze", US_national_yearly!$D:$AM, 10, FALSE), 1)</f>
        <v>3.645055798455785E-4</v>
      </c>
      <c r="N8" s="7">
        <f>$B8 * IFERROR(VLOOKUP("industry|NOx|Asthma symptoms wheeze", US_national_yearly!$D:$AM, 22, FALSE) / VLOOKUP("industry|NOx|Asthma symptoms wheeze", US_national_yearly!$D:$AM, 10, FALSE), 1)</f>
        <v>3.6595521061793753E-4</v>
      </c>
      <c r="O8" s="7">
        <f>$B8 * IFERROR(VLOOKUP("industry|NOx|Asthma symptoms wheeze", US_national_yearly!$D:$AM, 23, FALSE) / VLOOKUP("industry|NOx|Asthma symptoms wheeze", US_national_yearly!$D:$AM, 10, FALSE), 1)</f>
        <v>3.6740484139029657E-4</v>
      </c>
      <c r="P8" s="7">
        <f>$B8 * IFERROR(VLOOKUP("industry|NOx|Asthma symptoms wheeze", US_national_yearly!$D:$AM, 24, FALSE) / VLOOKUP("industry|NOx|Asthma symptoms wheeze", US_national_yearly!$D:$AM, 10, FALSE), 1)</f>
        <v>3.6885447216265555E-4</v>
      </c>
      <c r="Q8" s="7">
        <f>$B8 * IFERROR(VLOOKUP("industry|NOx|Asthma symptoms wheeze", US_national_yearly!$D:$AM, 25, FALSE) / VLOOKUP("industry|NOx|Asthma symptoms wheeze", US_national_yearly!$D:$AM, 10, FALSE), 1)</f>
        <v>3.7030410293501458E-4</v>
      </c>
      <c r="R8" s="7">
        <f>$B8 * IFERROR(VLOOKUP("industry|NOx|Asthma symptoms wheeze", US_national_yearly!$D:$AM, 26, FALSE) / VLOOKUP("industry|NOx|Asthma symptoms wheeze", US_national_yearly!$D:$AM, 10, FALSE), 1)</f>
        <v>3.7175373370737367E-4</v>
      </c>
      <c r="S8" s="7">
        <f>$B8 * IFERROR(VLOOKUP("industry|NOx|Asthma symptoms wheeze", US_national_yearly!$D:$AM, 27, FALSE) / VLOOKUP("industry|NOx|Asthma symptoms wheeze", US_national_yearly!$D:$AM, 10, FALSE), 1)</f>
        <v>3.7362369326271537E-4</v>
      </c>
      <c r="T8" s="7">
        <f>$B8 * IFERROR(VLOOKUP("industry|NOx|Asthma symptoms wheeze", US_national_yearly!$D:$AM, 28, FALSE) / VLOOKUP("industry|NOx|Asthma symptoms wheeze", US_national_yearly!$D:$AM, 10, FALSE), 1)</f>
        <v>3.7549365281805706E-4</v>
      </c>
      <c r="U8" s="7">
        <f>$B8 * IFERROR(VLOOKUP("industry|NOx|Asthma symptoms wheeze", US_national_yearly!$D:$AM, 29, FALSE) / VLOOKUP("industry|NOx|Asthma symptoms wheeze", US_national_yearly!$D:$AM, 10, FALSE), 1)</f>
        <v>3.7736361237339871E-4</v>
      </c>
      <c r="V8" s="7">
        <f>$B8 * IFERROR(VLOOKUP("industry|NOx|Asthma symptoms wheeze", US_national_yearly!$D:$AM, 30, FALSE) / VLOOKUP("industry|NOx|Asthma symptoms wheeze", US_national_yearly!$D:$AM, 10, FALSE), 1)</f>
        <v>3.792335719287404E-4</v>
      </c>
      <c r="W8" s="7">
        <f>$B8 * IFERROR(VLOOKUP("industry|NOx|Asthma symptoms wheeze", US_national_yearly!$D:$AM, 31, FALSE) / VLOOKUP("industry|NOx|Asthma symptoms wheeze", US_national_yearly!$D:$AM, 10, FALSE), 1)</f>
        <v>3.8110353148408205E-4</v>
      </c>
      <c r="X8" s="7">
        <f>$B8 * IFERROR(VLOOKUP("industry|NOx|Asthma symptoms wheeze", US_national_yearly!$D:$AM, 32, FALSE) / VLOOKUP("industry|NOx|Asthma symptoms wheeze", US_national_yearly!$D:$AM, 10, FALSE), 1)</f>
        <v>3.8283712778916171E-4</v>
      </c>
      <c r="Y8" s="7">
        <f>$B8 * IFERROR(VLOOKUP("industry|NOx|Asthma symptoms wheeze", US_national_yearly!$D:$AM, 33, FALSE) / VLOOKUP("industry|NOx|Asthma symptoms wheeze", US_national_yearly!$D:$AM, 10, FALSE), 1)</f>
        <v>3.8457072409424126E-4</v>
      </c>
      <c r="Z8" s="7">
        <f>$B8 * IFERROR(VLOOKUP("industry|NOx|Asthma symptoms wheeze", US_national_yearly!$D:$AM, 34, FALSE) / VLOOKUP("industry|NOx|Asthma symptoms wheeze", US_national_yearly!$D:$AM, 10, FALSE), 1)</f>
        <v>3.8630432039932081E-4</v>
      </c>
      <c r="AA8" s="7">
        <f>$B8 * IFERROR(VLOOKUP("industry|NOx|Asthma symptoms wheeze", US_national_yearly!$D:$AM, 35, FALSE) / VLOOKUP("industry|NOx|Asthma symptoms wheeze", US_national_yearly!$D:$AM, 10, FALSE), 1)</f>
        <v>3.8803791670440031E-4</v>
      </c>
      <c r="AB8" s="7">
        <f>$B8 * IFERROR(VLOOKUP("industry|NOx|Asthma symptoms wheeze", US_national_yearly!$D:$AM, 36, FALSE) / VLOOKUP("industry|NOx|Asthma symptoms wheeze", US_national_yearly!$D:$AM, 10, FALSE), 1)</f>
        <v>3.8977151300948013E-4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3.3558507785228327E-6</v>
      </c>
      <c r="C12" s="7">
        <f>$B12 * IFERROR(VLOOKUP("industry|NOx|Respiratory hospital admissions", US_national_yearly!$D:$AM, 11, FALSE) / VLOOKUP("industry|NOx|Respiratory hospital admissions", US_national_yearly!$D:$AM, 10, FALSE), 1)</f>
        <v>3.4401608680594317E-6</v>
      </c>
      <c r="D12" s="7">
        <f>$B12 * IFERROR(VLOOKUP("industry|NOx|Respiratory hospital admissions", US_national_yearly!$D:$AM, 12, FALSE) / VLOOKUP("industry|NOx|Respiratory hospital admissions", US_national_yearly!$D:$AM, 10, FALSE), 1)</f>
        <v>3.5244709575960307E-6</v>
      </c>
      <c r="E12" s="7">
        <f>$B12 * IFERROR(VLOOKUP("industry|NOx|Respiratory hospital admissions", US_national_yearly!$D:$AM, 13, FALSE) / VLOOKUP("industry|NOx|Respiratory hospital admissions", US_national_yearly!$D:$AM, 10, FALSE), 1)</f>
        <v>3.6087810471326302E-6</v>
      </c>
      <c r="F12" s="7">
        <f>$B12 * IFERROR(VLOOKUP("industry|NOx|Respiratory hospital admissions", US_national_yearly!$D:$AM, 14, FALSE) / VLOOKUP("industry|NOx|Respiratory hospital admissions", US_national_yearly!$D:$AM, 10, FALSE), 1)</f>
        <v>3.6930911366692283E-6</v>
      </c>
      <c r="G12" s="7">
        <f>$B12 * IFERROR(VLOOKUP("industry|NOx|Respiratory hospital admissions", US_national_yearly!$D:$AM, 15, FALSE) / VLOOKUP("industry|NOx|Respiratory hospital admissions", US_national_yearly!$D:$AM, 10, FALSE), 1)</f>
        <v>3.7737374863484746E-6</v>
      </c>
      <c r="H12" s="7">
        <f>$B12 * IFERROR(VLOOKUP("industry|NOx|Respiratory hospital admissions", US_national_yearly!$D:$AM, 16, FALSE) / VLOOKUP("industry|NOx|Respiratory hospital admissions", US_national_yearly!$D:$AM, 10, FALSE), 1)</f>
        <v>3.854383836027721E-6</v>
      </c>
      <c r="I12" s="7">
        <f>$B12 * IFERROR(VLOOKUP("industry|NOx|Respiratory hospital admissions", US_national_yearly!$D:$AM, 17, FALSE) / VLOOKUP("industry|NOx|Respiratory hospital admissions", US_national_yearly!$D:$AM, 10, FALSE), 1)</f>
        <v>3.9230651539183445E-6</v>
      </c>
      <c r="J12" s="7">
        <f>$B12 * IFERROR(VLOOKUP("industry|NOx|Respiratory hospital admissions", US_national_yearly!$D:$AM, 18, FALSE) / VLOOKUP("industry|NOx|Respiratory hospital admissions", US_national_yearly!$D:$AM, 10, FALSE), 1)</f>
        <v>3.9917464718089681E-6</v>
      </c>
      <c r="K12" s="7">
        <f>$B12 * IFERROR(VLOOKUP("industry|NOx|Respiratory hospital admissions", US_national_yearly!$D:$AM, 19, FALSE) / VLOOKUP("industry|NOx|Respiratory hospital admissions", US_national_yearly!$D:$AM, 10, FALSE), 1)</f>
        <v>4.0604277896995925E-6</v>
      </c>
      <c r="L12" s="7">
        <f>$B12 * IFERROR(VLOOKUP("industry|NOx|Respiratory hospital admissions", US_national_yearly!$D:$AM, 20, FALSE) / VLOOKUP("industry|NOx|Respiratory hospital admissions", US_national_yearly!$D:$AM, 10, FALSE), 1)</f>
        <v>4.1291091075902169E-6</v>
      </c>
      <c r="M12" s="7">
        <f>$B12 * IFERROR(VLOOKUP("industry|NOx|Respiratory hospital admissions", US_national_yearly!$D:$AM, 21, FALSE) / VLOOKUP("industry|NOx|Respiratory hospital admissions", US_national_yearly!$D:$AM, 10, FALSE), 1)</f>
        <v>4.1977904254808404E-6</v>
      </c>
      <c r="N12" s="7">
        <f>$B12 * IFERROR(VLOOKUP("industry|NOx|Respiratory hospital admissions", US_national_yearly!$D:$AM, 22, FALSE) / VLOOKUP("industry|NOx|Respiratory hospital admissions", US_national_yearly!$D:$AM, 10, FALSE), 1)</f>
        <v>4.243821811545637E-6</v>
      </c>
      <c r="O12" s="7">
        <f>$B12 * IFERROR(VLOOKUP("industry|NOx|Respiratory hospital admissions", US_national_yearly!$D:$AM, 23, FALSE) / VLOOKUP("industry|NOx|Respiratory hospital admissions", US_national_yearly!$D:$AM, 10, FALSE), 1)</f>
        <v>4.2898531976104327E-6</v>
      </c>
      <c r="P12" s="7">
        <f>$B12 * IFERROR(VLOOKUP("industry|NOx|Respiratory hospital admissions", US_national_yearly!$D:$AM, 24, FALSE) / VLOOKUP("industry|NOx|Respiratory hospital admissions", US_national_yearly!$D:$AM, 10, FALSE), 1)</f>
        <v>4.3358845836752292E-6</v>
      </c>
      <c r="Q12" s="7">
        <f>$B12 * IFERROR(VLOOKUP("industry|NOx|Respiratory hospital admissions", US_national_yearly!$D:$AM, 25, FALSE) / VLOOKUP("industry|NOx|Respiratory hospital admissions", US_national_yearly!$D:$AM, 10, FALSE), 1)</f>
        <v>4.381915969740024E-6</v>
      </c>
      <c r="R12" s="7">
        <f>$B12 * IFERROR(VLOOKUP("industry|NOx|Respiratory hospital admissions", US_national_yearly!$D:$AM, 26, FALSE) / VLOOKUP("industry|NOx|Respiratory hospital admissions", US_national_yearly!$D:$AM, 10, FALSE), 1)</f>
        <v>4.4279473558048206E-6</v>
      </c>
      <c r="S12" s="7">
        <f>$B12 * IFERROR(VLOOKUP("industry|NOx|Respiratory hospital admissions", US_national_yearly!$D:$AM, 27, FALSE) / VLOOKUP("industry|NOx|Respiratory hospital admissions", US_national_yearly!$D:$AM, 10, FALSE), 1)</f>
        <v>4.4529383989036274E-6</v>
      </c>
      <c r="T12" s="7">
        <f>$B12 * IFERROR(VLOOKUP("industry|NOx|Respiratory hospital admissions", US_national_yearly!$D:$AM, 28, FALSE) / VLOOKUP("industry|NOx|Respiratory hospital admissions", US_national_yearly!$D:$AM, 10, FALSE), 1)</f>
        <v>4.477929442002435E-6</v>
      </c>
      <c r="U12" s="7">
        <f>$B12 * IFERROR(VLOOKUP("industry|NOx|Respiratory hospital admissions", US_national_yearly!$D:$AM, 29, FALSE) / VLOOKUP("industry|NOx|Respiratory hospital admissions", US_national_yearly!$D:$AM, 10, FALSE), 1)</f>
        <v>4.5029204851012427E-6</v>
      </c>
      <c r="V12" s="7">
        <f>$B12 * IFERROR(VLOOKUP("industry|NOx|Respiratory hospital admissions", US_national_yearly!$D:$AM, 30, FALSE) / VLOOKUP("industry|NOx|Respiratory hospital admissions", US_national_yearly!$D:$AM, 10, FALSE), 1)</f>
        <v>4.5279115282000495E-6</v>
      </c>
      <c r="W12" s="7">
        <f>$B12 * IFERROR(VLOOKUP("industry|NOx|Respiratory hospital admissions", US_national_yearly!$D:$AM, 31, FALSE) / VLOOKUP("industry|NOx|Respiratory hospital admissions", US_national_yearly!$D:$AM, 10, FALSE), 1)</f>
        <v>4.5529025712988571E-6</v>
      </c>
      <c r="X12" s="7">
        <f>$B12 * IFERROR(VLOOKUP("industry|NOx|Respiratory hospital admissions", US_national_yearly!$D:$AM, 32, FALSE) / VLOOKUP("industry|NOx|Respiratory hospital admissions", US_national_yearly!$D:$AM, 10, FALSE), 1)</f>
        <v>4.5703278660250757E-6</v>
      </c>
      <c r="Y12" s="7">
        <f>$B12 * IFERROR(VLOOKUP("industry|NOx|Respiratory hospital admissions", US_national_yearly!$D:$AM, 33, FALSE) / VLOOKUP("industry|NOx|Respiratory hospital admissions", US_national_yearly!$D:$AM, 10, FALSE), 1)</f>
        <v>4.5877531607512944E-6</v>
      </c>
      <c r="Z12" s="7">
        <f>$B12 * IFERROR(VLOOKUP("industry|NOx|Respiratory hospital admissions", US_national_yearly!$D:$AM, 34, FALSE) / VLOOKUP("industry|NOx|Respiratory hospital admissions", US_national_yearly!$D:$AM, 10, FALSE), 1)</f>
        <v>4.6051784554775138E-6</v>
      </c>
      <c r="AA12" s="7">
        <f>$B12 * IFERROR(VLOOKUP("industry|NOx|Respiratory hospital admissions", US_national_yearly!$D:$AM, 35, FALSE) / VLOOKUP("industry|NOx|Respiratory hospital admissions", US_national_yearly!$D:$AM, 10, FALSE), 1)</f>
        <v>4.6226037502037316E-6</v>
      </c>
      <c r="AB12" s="7">
        <f>$B12 * IFERROR(VLOOKUP("industry|NOx|Respiratory hospital admissions", US_national_yearly!$D:$AM, 36, FALSE) / VLOOKUP("industry|NOx|Respiratory hospital admissions", US_national_yearly!$D:$AM, 10, FALSE), 1)</f>
        <v>4.6400290449299502E-6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1.9450720287122656E-5</v>
      </c>
      <c r="C13" s="7">
        <f>$B13 * IFERROR(VLOOKUP("industry|NOx|Non-fatal heart attacks", US_national_yearly!$D:$AM, 11, FALSE) / VLOOKUP("industry|NOx|Non-fatal heart attacks", US_national_yearly!$D:$AM, 10, FALSE), 1)</f>
        <v>2.0006446004962988E-5</v>
      </c>
      <c r="D13" s="7">
        <f>$B13 * IFERROR(VLOOKUP("industry|NOx|Non-fatal heart attacks", US_national_yearly!$D:$AM, 12, FALSE) / VLOOKUP("industry|NOx|Non-fatal heart attacks", US_national_yearly!$D:$AM, 10, FALSE), 1)</f>
        <v>2.0562171722803323E-5</v>
      </c>
      <c r="E13" s="7">
        <f>$B13 * IFERROR(VLOOKUP("industry|NOx|Non-fatal heart attacks", US_national_yearly!$D:$AM, 13, FALSE) / VLOOKUP("industry|NOx|Non-fatal heart attacks", US_national_yearly!$D:$AM, 10, FALSE), 1)</f>
        <v>2.1117897440643654E-5</v>
      </c>
      <c r="F13" s="7">
        <f>$B13 * IFERROR(VLOOKUP("industry|NOx|Non-fatal heart attacks", US_national_yearly!$D:$AM, 14, FALSE) / VLOOKUP("industry|NOx|Non-fatal heart attacks", US_national_yearly!$D:$AM, 10, FALSE), 1)</f>
        <v>2.1673623158483989E-5</v>
      </c>
      <c r="G13" s="7">
        <f>$B13 * IFERROR(VLOOKUP("industry|NOx|Non-fatal heart attacks", US_national_yearly!$D:$AM, 15, FALSE) / VLOOKUP("industry|NOx|Non-fatal heart attacks", US_national_yearly!$D:$AM, 10, FALSE), 1)</f>
        <v>2.2193388590469934E-5</v>
      </c>
      <c r="H13" s="7">
        <f>$B13 * IFERROR(VLOOKUP("industry|NOx|Non-fatal heart attacks", US_national_yearly!$D:$AM, 16, FALSE) / VLOOKUP("industry|NOx|Non-fatal heart attacks", US_national_yearly!$D:$AM, 10, FALSE), 1)</f>
        <v>2.2713154022455879E-5</v>
      </c>
      <c r="I13" s="7">
        <f>$B13 * IFERROR(VLOOKUP("industry|NOx|Non-fatal heart attacks", US_national_yearly!$D:$AM, 17, FALSE) / VLOOKUP("industry|NOx|Non-fatal heart attacks", US_national_yearly!$D:$AM, 10, FALSE), 1)</f>
        <v>2.3124233841847999E-5</v>
      </c>
      <c r="J13" s="7">
        <f>$B13 * IFERROR(VLOOKUP("industry|NOx|Non-fatal heart attacks", US_national_yearly!$D:$AM, 18, FALSE) / VLOOKUP("industry|NOx|Non-fatal heart attacks", US_national_yearly!$D:$AM, 10, FALSE), 1)</f>
        <v>2.353531366124012E-5</v>
      </c>
      <c r="K13" s="7">
        <f>$B13 * IFERROR(VLOOKUP("industry|NOx|Non-fatal heart attacks", US_national_yearly!$D:$AM, 19, FALSE) / VLOOKUP("industry|NOx|Non-fatal heart attacks", US_national_yearly!$D:$AM, 10, FALSE), 1)</f>
        <v>2.3946393480632233E-5</v>
      </c>
      <c r="L13" s="7">
        <f>$B13 * IFERROR(VLOOKUP("industry|NOx|Non-fatal heart attacks", US_national_yearly!$D:$AM, 20, FALSE) / VLOOKUP("industry|NOx|Non-fatal heart attacks", US_national_yearly!$D:$AM, 10, FALSE), 1)</f>
        <v>2.435747330002436E-5</v>
      </c>
      <c r="M13" s="7">
        <f>$B13 * IFERROR(VLOOKUP("industry|NOx|Non-fatal heart attacks", US_national_yearly!$D:$AM, 21, FALSE) / VLOOKUP("industry|NOx|Non-fatal heart attacks", US_national_yearly!$D:$AM, 10, FALSE), 1)</f>
        <v>2.4768553119416487E-5</v>
      </c>
      <c r="N13" s="7">
        <f>$B13 * IFERROR(VLOOKUP("industry|NOx|Non-fatal heart attacks", US_national_yearly!$D:$AM, 22, FALSE) / VLOOKUP("industry|NOx|Non-fatal heart attacks", US_national_yearly!$D:$AM, 10, FALSE), 1)</f>
        <v>2.501620898065263E-5</v>
      </c>
      <c r="O13" s="7">
        <f>$B13 * IFERROR(VLOOKUP("industry|NOx|Non-fatal heart attacks", US_national_yearly!$D:$AM, 23, FALSE) / VLOOKUP("industry|NOx|Non-fatal heart attacks", US_national_yearly!$D:$AM, 10, FALSE), 1)</f>
        <v>2.5263864841888766E-5</v>
      </c>
      <c r="P13" s="7">
        <f>$B13 * IFERROR(VLOOKUP("industry|NOx|Non-fatal heart attacks", US_national_yearly!$D:$AM, 24, FALSE) / VLOOKUP("industry|NOx|Non-fatal heart attacks", US_national_yearly!$D:$AM, 10, FALSE), 1)</f>
        <v>2.5511520703124902E-5</v>
      </c>
      <c r="Q13" s="7">
        <f>$B13 * IFERROR(VLOOKUP("industry|NOx|Non-fatal heart attacks", US_national_yearly!$D:$AM, 25, FALSE) / VLOOKUP("industry|NOx|Non-fatal heart attacks", US_national_yearly!$D:$AM, 10, FALSE), 1)</f>
        <v>2.5759176564361041E-5</v>
      </c>
      <c r="R13" s="7">
        <f>$B13 * IFERROR(VLOOKUP("industry|NOx|Non-fatal heart attacks", US_national_yearly!$D:$AM, 26, FALSE) / VLOOKUP("industry|NOx|Non-fatal heart attacks", US_national_yearly!$D:$AM, 10, FALSE), 1)</f>
        <v>2.6006832425597177E-5</v>
      </c>
      <c r="S13" s="7">
        <f>$B13 * IFERROR(VLOOKUP("industry|NOx|Non-fatal heart attacks", US_national_yearly!$D:$AM, 27, FALSE) / VLOOKUP("industry|NOx|Non-fatal heart attacks", US_national_yearly!$D:$AM, 10, FALSE), 1)</f>
        <v>2.6120461874579379E-5</v>
      </c>
      <c r="T13" s="7">
        <f>$B13 * IFERROR(VLOOKUP("industry|NOx|Non-fatal heart attacks", US_national_yearly!$D:$AM, 28, FALSE) / VLOOKUP("industry|NOx|Non-fatal heart attacks", US_national_yearly!$D:$AM, 10, FALSE), 1)</f>
        <v>2.6234091323561577E-5</v>
      </c>
      <c r="U13" s="7">
        <f>$B13 * IFERROR(VLOOKUP("industry|NOx|Non-fatal heart attacks", US_national_yearly!$D:$AM, 29, FALSE) / VLOOKUP("industry|NOx|Non-fatal heart attacks", US_national_yearly!$D:$AM, 10, FALSE), 1)</f>
        <v>2.6347720772543775E-5</v>
      </c>
      <c r="V13" s="7">
        <f>$B13 * IFERROR(VLOOKUP("industry|NOx|Non-fatal heart attacks", US_national_yearly!$D:$AM, 30, FALSE) / VLOOKUP("industry|NOx|Non-fatal heart attacks", US_national_yearly!$D:$AM, 10, FALSE), 1)</f>
        <v>2.6461350221525977E-5</v>
      </c>
      <c r="W13" s="7">
        <f>$B13 * IFERROR(VLOOKUP("industry|NOx|Non-fatal heart attacks", US_national_yearly!$D:$AM, 31, FALSE) / VLOOKUP("industry|NOx|Non-fatal heart attacks", US_national_yearly!$D:$AM, 10, FALSE), 1)</f>
        <v>2.6574979670508176E-5</v>
      </c>
      <c r="X13" s="7">
        <f>$B13 * IFERROR(VLOOKUP("industry|NOx|Non-fatal heart attacks", US_national_yearly!$D:$AM, 32, FALSE) / VLOOKUP("industry|NOx|Non-fatal heart attacks", US_national_yearly!$D:$AM, 10, FALSE), 1)</f>
        <v>2.6651667099941222E-5</v>
      </c>
      <c r="Y13" s="7">
        <f>$B13 * IFERROR(VLOOKUP("industry|NOx|Non-fatal heart attacks", US_national_yearly!$D:$AM, 33, FALSE) / VLOOKUP("industry|NOx|Non-fatal heart attacks", US_national_yearly!$D:$AM, 10, FALSE), 1)</f>
        <v>2.6728354529374271E-5</v>
      </c>
      <c r="Z13" s="7">
        <f>$B13 * IFERROR(VLOOKUP("industry|NOx|Non-fatal heart attacks", US_national_yearly!$D:$AM, 34, FALSE) / VLOOKUP("industry|NOx|Non-fatal heart attacks", US_national_yearly!$D:$AM, 10, FALSE), 1)</f>
        <v>2.6805041958807317E-5</v>
      </c>
      <c r="AA13" s="7">
        <f>$B13 * IFERROR(VLOOKUP("industry|NOx|Non-fatal heart attacks", US_national_yearly!$D:$AM, 35, FALSE) / VLOOKUP("industry|NOx|Non-fatal heart attacks", US_national_yearly!$D:$AM, 10, FALSE), 1)</f>
        <v>2.6881729388240363E-5</v>
      </c>
      <c r="AB13" s="7">
        <f>$B13 * IFERROR(VLOOKUP("industry|NOx|Non-fatal heart attacks", US_national_yearly!$D:$AM, 36, FALSE) / VLOOKUP("industry|NOx|Non-fatal heart attacks", US_national_yearly!$D:$AM, 10, FALSE), 1)</f>
        <v>2.6958416817673409E-5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1.6594577148079496E-2</v>
      </c>
      <c r="C14" s="7">
        <f>$B14 * IFERROR(VLOOKUP("industry|NOx|Minor restricted activity days", US_national_yearly!$D:$AM, 11, FALSE) / VLOOKUP("industry|NOx|Minor restricted activity days", US_national_yearly!$D:$AM, 10, FALSE), 1)</f>
        <v>1.6619163294636894E-2</v>
      </c>
      <c r="D14" s="7">
        <f>$B14 * IFERROR(VLOOKUP("industry|NOx|Minor restricted activity days", US_national_yearly!$D:$AM, 12, FALSE) / VLOOKUP("industry|NOx|Minor restricted activity days", US_national_yearly!$D:$AM, 10, FALSE), 1)</f>
        <v>1.6643749441194289E-2</v>
      </c>
      <c r="E14" s="7">
        <f>$B14 * IFERROR(VLOOKUP("industry|NOx|Minor restricted activity days", US_national_yearly!$D:$AM, 13, FALSE) / VLOOKUP("industry|NOx|Minor restricted activity days", US_national_yearly!$D:$AM, 10, FALSE), 1)</f>
        <v>1.6668335587751684E-2</v>
      </c>
      <c r="F14" s="7">
        <f>$B14 * IFERROR(VLOOKUP("industry|NOx|Minor restricted activity days", US_national_yearly!$D:$AM, 14, FALSE) / VLOOKUP("industry|NOx|Minor restricted activity days", US_national_yearly!$D:$AM, 10, FALSE), 1)</f>
        <v>1.6692921734309078E-2</v>
      </c>
      <c r="G14" s="7">
        <f>$B14 * IFERROR(VLOOKUP("industry|NOx|Minor restricted activity days", US_national_yearly!$D:$AM, 15, FALSE) / VLOOKUP("industry|NOx|Minor restricted activity days", US_national_yearly!$D:$AM, 10, FALSE), 1)</f>
        <v>1.6737678514863408E-2</v>
      </c>
      <c r="H14" s="7">
        <f>$B14 * IFERROR(VLOOKUP("industry|NOx|Minor restricted activity days", US_national_yearly!$D:$AM, 16, FALSE) / VLOOKUP("industry|NOx|Minor restricted activity days", US_national_yearly!$D:$AM, 10, FALSE), 1)</f>
        <v>1.6782435295417737E-2</v>
      </c>
      <c r="I14" s="7">
        <f>$B14 * IFERROR(VLOOKUP("industry|NOx|Minor restricted activity days", US_national_yearly!$D:$AM, 17, FALSE) / VLOOKUP("industry|NOx|Minor restricted activity days", US_national_yearly!$D:$AM, 10, FALSE), 1)</f>
        <v>1.6870545388956479E-2</v>
      </c>
      <c r="J14" s="7">
        <f>$B14 * IFERROR(VLOOKUP("industry|NOx|Minor restricted activity days", US_national_yearly!$D:$AM, 18, FALSE) / VLOOKUP("industry|NOx|Minor restricted activity days", US_national_yearly!$D:$AM, 10, FALSE), 1)</f>
        <v>1.6958655482495213E-2</v>
      </c>
      <c r="K14" s="7">
        <f>$B14 * IFERROR(VLOOKUP("industry|NOx|Minor restricted activity days", US_national_yearly!$D:$AM, 19, FALSE) / VLOOKUP("industry|NOx|Minor restricted activity days", US_national_yearly!$D:$AM, 10, FALSE), 1)</f>
        <v>1.7046765576033945E-2</v>
      </c>
      <c r="L14" s="7">
        <f>$B14 * IFERROR(VLOOKUP("industry|NOx|Minor restricted activity days", US_national_yearly!$D:$AM, 20, FALSE) / VLOOKUP("industry|NOx|Minor restricted activity days", US_national_yearly!$D:$AM, 10, FALSE), 1)</f>
        <v>1.7134875669572686E-2</v>
      </c>
      <c r="M14" s="7">
        <f>$B14 * IFERROR(VLOOKUP("industry|NOx|Minor restricted activity days", US_national_yearly!$D:$AM, 21, FALSE) / VLOOKUP("industry|NOx|Minor restricted activity days", US_national_yearly!$D:$AM, 10, FALSE), 1)</f>
        <v>1.7222985763111421E-2</v>
      </c>
      <c r="N14" s="7">
        <f>$B14 * IFERROR(VLOOKUP("industry|NOx|Minor restricted activity days", US_national_yearly!$D:$AM, 22, FALSE) / VLOOKUP("industry|NOx|Minor restricted activity days", US_national_yearly!$D:$AM, 10, FALSE), 1)</f>
        <v>1.7349870188148979E-2</v>
      </c>
      <c r="O14" s="7">
        <f>$B14 * IFERROR(VLOOKUP("industry|NOx|Minor restricted activity days", US_national_yearly!$D:$AM, 23, FALSE) / VLOOKUP("industry|NOx|Minor restricted activity days", US_national_yearly!$D:$AM, 10, FALSE), 1)</f>
        <v>1.7476754613186544E-2</v>
      </c>
      <c r="P14" s="7">
        <f>$B14 * IFERROR(VLOOKUP("industry|NOx|Minor restricted activity days", US_national_yearly!$D:$AM, 24, FALSE) / VLOOKUP("industry|NOx|Minor restricted activity days", US_national_yearly!$D:$AM, 10, FALSE), 1)</f>
        <v>1.7603639038224105E-2</v>
      </c>
      <c r="Q14" s="7">
        <f>$B14 * IFERROR(VLOOKUP("industry|NOx|Minor restricted activity days", US_national_yearly!$D:$AM, 25, FALSE) / VLOOKUP("industry|NOx|Minor restricted activity days", US_national_yearly!$D:$AM, 10, FALSE), 1)</f>
        <v>1.7730523463261663E-2</v>
      </c>
      <c r="R14" s="7">
        <f>$B14 * IFERROR(VLOOKUP("industry|NOx|Minor restricted activity days", US_national_yearly!$D:$AM, 26, FALSE) / VLOOKUP("industry|NOx|Minor restricted activity days", US_national_yearly!$D:$AM, 10, FALSE), 1)</f>
        <v>1.7857407888299228E-2</v>
      </c>
      <c r="S14" s="7">
        <f>$B14 * IFERROR(VLOOKUP("industry|NOx|Minor restricted activity days", US_national_yearly!$D:$AM, 27, FALSE) / VLOOKUP("industry|NOx|Minor restricted activity days", US_national_yearly!$D:$AM, 10, FALSE), 1)</f>
        <v>1.7984428160094025E-2</v>
      </c>
      <c r="T14" s="7">
        <f>$B14 * IFERROR(VLOOKUP("industry|NOx|Minor restricted activity days", US_national_yearly!$D:$AM, 28, FALSE) / VLOOKUP("industry|NOx|Minor restricted activity days", US_national_yearly!$D:$AM, 10, FALSE), 1)</f>
        <v>1.8111448431888826E-2</v>
      </c>
      <c r="U14" s="7">
        <f>$B14 * IFERROR(VLOOKUP("industry|NOx|Minor restricted activity days", US_national_yearly!$D:$AM, 29, FALSE) / VLOOKUP("industry|NOx|Minor restricted activity days", US_national_yearly!$D:$AM, 10, FALSE), 1)</f>
        <v>1.8238468703683626E-2</v>
      </c>
      <c r="V14" s="7">
        <f>$B14 * IFERROR(VLOOKUP("industry|NOx|Minor restricted activity days", US_national_yearly!$D:$AM, 30, FALSE) / VLOOKUP("industry|NOx|Minor restricted activity days", US_national_yearly!$D:$AM, 10, FALSE), 1)</f>
        <v>1.8365488975478426E-2</v>
      </c>
      <c r="W14" s="7">
        <f>$B14 * IFERROR(VLOOKUP("industry|NOx|Minor restricted activity days", US_national_yearly!$D:$AM, 31, FALSE) / VLOOKUP("industry|NOx|Minor restricted activity days", US_national_yearly!$D:$AM, 10, FALSE), 1)</f>
        <v>1.8492509247273227E-2</v>
      </c>
      <c r="X14" s="7">
        <f>$B14 * IFERROR(VLOOKUP("industry|NOx|Minor restricted activity days", US_national_yearly!$D:$AM, 32, FALSE) / VLOOKUP("industry|NOx|Minor restricted activity days", US_national_yearly!$D:$AM, 10, FALSE), 1)</f>
        <v>1.8599750608951734E-2</v>
      </c>
      <c r="Y14" s="7">
        <f>$B14 * IFERROR(VLOOKUP("industry|NOx|Minor restricted activity days", US_national_yearly!$D:$AM, 33, FALSE) / VLOOKUP("industry|NOx|Minor restricted activity days", US_national_yearly!$D:$AM, 10, FALSE), 1)</f>
        <v>1.8706991970630239E-2</v>
      </c>
      <c r="Z14" s="7">
        <f>$B14 * IFERROR(VLOOKUP("industry|NOx|Minor restricted activity days", US_national_yearly!$D:$AM, 34, FALSE) / VLOOKUP("industry|NOx|Minor restricted activity days", US_national_yearly!$D:$AM, 10, FALSE), 1)</f>
        <v>1.8814233332308739E-2</v>
      </c>
      <c r="AA14" s="7">
        <f>$B14 * IFERROR(VLOOKUP("industry|NOx|Minor restricted activity days", US_national_yearly!$D:$AM, 35, FALSE) / VLOOKUP("industry|NOx|Minor restricted activity days", US_national_yearly!$D:$AM, 10, FALSE), 1)</f>
        <v>1.8921474693987247E-2</v>
      </c>
      <c r="AB14" s="7">
        <f>$B14 * IFERROR(VLOOKUP("industry|NOx|Minor restricted activity days", US_national_yearly!$D:$AM, 36, FALSE) / VLOOKUP("industry|NOx|Minor restricted activity days", US_national_yearly!$D:$AM, 10, FALSE), 1)</f>
        <v>1.9028716055665754E-2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2.813677963551098E-3</v>
      </c>
      <c r="C15" s="7">
        <f>$B15 * IFERROR(VLOOKUP("industry|NOx|Work loss days", US_national_yearly!$D:$AM, 11, FALSE) / VLOOKUP("industry|NOx|Work loss days", US_national_yearly!$D:$AM, 10, FALSE), 1)</f>
        <v>2.819774294543621E-3</v>
      </c>
      <c r="D15" s="7">
        <f>$B15 * IFERROR(VLOOKUP("industry|NOx|Work loss days", US_national_yearly!$D:$AM, 12, FALSE) / VLOOKUP("industry|NOx|Work loss days", US_national_yearly!$D:$AM, 10, FALSE), 1)</f>
        <v>2.8258706255361427E-3</v>
      </c>
      <c r="E15" s="7">
        <f>$B15 * IFERROR(VLOOKUP("industry|NOx|Work loss days", US_national_yearly!$D:$AM, 13, FALSE) / VLOOKUP("industry|NOx|Work loss days", US_national_yearly!$D:$AM, 10, FALSE), 1)</f>
        <v>2.8319669565286653E-3</v>
      </c>
      <c r="F15" s="7">
        <f>$B15 * IFERROR(VLOOKUP("industry|NOx|Work loss days", US_national_yearly!$D:$AM, 14, FALSE) / VLOOKUP("industry|NOx|Work loss days", US_national_yearly!$D:$AM, 10, FALSE), 1)</f>
        <v>2.8380632875211879E-3</v>
      </c>
      <c r="G15" s="7">
        <f>$B15 * IFERROR(VLOOKUP("industry|NOx|Work loss days", US_national_yearly!$D:$AM, 15, FALSE) / VLOOKUP("industry|NOx|Work loss days", US_national_yearly!$D:$AM, 10, FALSE), 1)</f>
        <v>2.8469806907589616E-3</v>
      </c>
      <c r="H15" s="7">
        <f>$B15 * IFERROR(VLOOKUP("industry|NOx|Work loss days", US_national_yearly!$D:$AM, 16, FALSE) / VLOOKUP("industry|NOx|Work loss days", US_national_yearly!$D:$AM, 10, FALSE), 1)</f>
        <v>2.8558980939967357E-3</v>
      </c>
      <c r="I15" s="7">
        <f>$B15 * IFERROR(VLOOKUP("industry|NOx|Work loss days", US_national_yearly!$D:$AM, 17, FALSE) / VLOOKUP("industry|NOx|Work loss days", US_national_yearly!$D:$AM, 10, FALSE), 1)</f>
        <v>2.8703866132094766E-3</v>
      </c>
      <c r="J15" s="7">
        <f>$B15 * IFERROR(VLOOKUP("industry|NOx|Work loss days", US_national_yearly!$D:$AM, 18, FALSE) / VLOOKUP("industry|NOx|Work loss days", US_national_yearly!$D:$AM, 10, FALSE), 1)</f>
        <v>2.8848751324222171E-3</v>
      </c>
      <c r="K15" s="7">
        <f>$B15 * IFERROR(VLOOKUP("industry|NOx|Work loss days", US_national_yearly!$D:$AM, 19, FALSE) / VLOOKUP("industry|NOx|Work loss days", US_national_yearly!$D:$AM, 10, FALSE), 1)</f>
        <v>2.8993636516349581E-3</v>
      </c>
      <c r="L15" s="7">
        <f>$B15 * IFERROR(VLOOKUP("industry|NOx|Work loss days", US_national_yearly!$D:$AM, 20, FALSE) / VLOOKUP("industry|NOx|Work loss days", US_national_yearly!$D:$AM, 10, FALSE), 1)</f>
        <v>2.9138521708476986E-3</v>
      </c>
      <c r="M15" s="7">
        <f>$B15 * IFERROR(VLOOKUP("industry|NOx|Work loss days", US_national_yearly!$D:$AM, 21, FALSE) / VLOOKUP("industry|NOx|Work loss days", US_national_yearly!$D:$AM, 10, FALSE), 1)</f>
        <v>2.92834069006044E-3</v>
      </c>
      <c r="N15" s="7">
        <f>$B15 * IFERROR(VLOOKUP("industry|NOx|Work loss days", US_national_yearly!$D:$AM, 22, FALSE) / VLOOKUP("industry|NOx|Work loss days", US_national_yearly!$D:$AM, 10, FALSE), 1)</f>
        <v>2.9472883875313028E-3</v>
      </c>
      <c r="O15" s="7">
        <f>$B15 * IFERROR(VLOOKUP("industry|NOx|Work loss days", US_national_yearly!$D:$AM, 23, FALSE) / VLOOKUP("industry|NOx|Work loss days", US_national_yearly!$D:$AM, 10, FALSE), 1)</f>
        <v>2.9662360850021665E-3</v>
      </c>
      <c r="P15" s="7">
        <f>$B15 * IFERROR(VLOOKUP("industry|NOx|Work loss days", US_national_yearly!$D:$AM, 24, FALSE) / VLOOKUP("industry|NOx|Work loss days", US_national_yearly!$D:$AM, 10, FALSE), 1)</f>
        <v>2.9851837824730297E-3</v>
      </c>
      <c r="Q15" s="7">
        <f>$B15 * IFERROR(VLOOKUP("industry|NOx|Work loss days", US_national_yearly!$D:$AM, 25, FALSE) / VLOOKUP("industry|NOx|Work loss days", US_national_yearly!$D:$AM, 10, FALSE), 1)</f>
        <v>3.0041314799438925E-3</v>
      </c>
      <c r="R15" s="7">
        <f>$B15 * IFERROR(VLOOKUP("industry|NOx|Work loss days", US_national_yearly!$D:$AM, 26, FALSE) / VLOOKUP("industry|NOx|Work loss days", US_national_yearly!$D:$AM, 10, FALSE), 1)</f>
        <v>3.0230791774147562E-3</v>
      </c>
      <c r="S15" s="7">
        <f>$B15 * IFERROR(VLOOKUP("industry|NOx|Work loss days", US_national_yearly!$D:$AM, 27, FALSE) / VLOOKUP("industry|NOx|Work loss days", US_national_yearly!$D:$AM, 10, FALSE), 1)</f>
        <v>3.0442615554889963E-3</v>
      </c>
      <c r="T15" s="7">
        <f>$B15 * IFERROR(VLOOKUP("industry|NOx|Work loss days", US_national_yearly!$D:$AM, 28, FALSE) / VLOOKUP("industry|NOx|Work loss days", US_national_yearly!$D:$AM, 10, FALSE), 1)</f>
        <v>3.0654439335632373E-3</v>
      </c>
      <c r="U15" s="7">
        <f>$B15 * IFERROR(VLOOKUP("industry|NOx|Work loss days", US_national_yearly!$D:$AM, 29, FALSE) / VLOOKUP("industry|NOx|Work loss days", US_national_yearly!$D:$AM, 10, FALSE), 1)</f>
        <v>3.0866263116374783E-3</v>
      </c>
      <c r="V15" s="7">
        <f>$B15 * IFERROR(VLOOKUP("industry|NOx|Work loss days", US_national_yearly!$D:$AM, 30, FALSE) / VLOOKUP("industry|NOx|Work loss days", US_national_yearly!$D:$AM, 10, FALSE), 1)</f>
        <v>3.1078086897117184E-3</v>
      </c>
      <c r="W15" s="7">
        <f>$B15 * IFERROR(VLOOKUP("industry|NOx|Work loss days", US_national_yearly!$D:$AM, 31, FALSE) / VLOOKUP("industry|NOx|Work loss days", US_national_yearly!$D:$AM, 10, FALSE), 1)</f>
        <v>3.1289910677859589E-3</v>
      </c>
      <c r="X15" s="7">
        <f>$B15 * IFERROR(VLOOKUP("industry|NOx|Work loss days", US_national_yearly!$D:$AM, 32, FALSE) / VLOOKUP("industry|NOx|Work loss days", US_national_yearly!$D:$AM, 10, FALSE), 1)</f>
        <v>3.1473675195007227E-3</v>
      </c>
      <c r="Y15" s="7">
        <f>$B15 * IFERROR(VLOOKUP("industry|NOx|Work loss days", US_national_yearly!$D:$AM, 33, FALSE) / VLOOKUP("industry|NOx|Work loss days", US_national_yearly!$D:$AM, 10, FALSE), 1)</f>
        <v>3.1657439712154864E-3</v>
      </c>
      <c r="Z15" s="7">
        <f>$B15 * IFERROR(VLOOKUP("industry|NOx|Work loss days", US_national_yearly!$D:$AM, 34, FALSE) / VLOOKUP("industry|NOx|Work loss days", US_national_yearly!$D:$AM, 10, FALSE), 1)</f>
        <v>3.1841204229302502E-3</v>
      </c>
      <c r="AA15" s="7">
        <f>$B15 * IFERROR(VLOOKUP("industry|NOx|Work loss days", US_national_yearly!$D:$AM, 35, FALSE) / VLOOKUP("industry|NOx|Work loss days", US_national_yearly!$D:$AM, 10, FALSE), 1)</f>
        <v>3.202496874645014E-3</v>
      </c>
      <c r="AB15" s="7">
        <f>$B15 * IFERROR(VLOOKUP("industry|NOx|Work loss days", US_national_yearly!$D:$AM, 36, FALSE) / VLOOKUP("industry|NOx|Work loss days", US_national_yearly!$D:$AM, 10, FALSE), 1)</f>
        <v>3.2208733263597773E-3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4.5667496114789119E-6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4.7008415785613887E-6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4.8349335456438654E-6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4.9690255127263413E-6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5.1031174798088189E-6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5.2305617235422067E-6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5.3580059672755952E-6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5.4654506862388883E-6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5.5728954052021815E-6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5.6803401241654746E-6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5.7877848431287677E-6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5.89522956209206E-6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5.9624943775893388E-6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6.0297591930866158E-6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6.0970240085838938E-6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6.1642888240811717E-6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6.2315536395784488E-6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6.2625842219033947E-6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6.2936148042283399E-6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6.3246453865532858E-6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6.3556759688782318E-6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6.3867065512031769E-6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6.4042386133520428E-6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6.4217706755009087E-6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6.4393027376497738E-6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6.4568347997986389E-6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6.4743668619475048E-6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1.2956049354702723E-3</v>
      </c>
      <c r="C2" s="7">
        <f>$B2 * IFERROR(VLOOKUP("industry|SO2|Premature mortality", US_national_yearly!$D:$AM, 11, FALSE) / VLOOKUP("industry|SO2|Premature mortality", US_national_yearly!$D:$AM, 10, FALSE), 1)</f>
        <v>1.3120291931697089E-3</v>
      </c>
      <c r="D2" s="7">
        <f>$B2 * IFERROR(VLOOKUP("industry|SO2|Premature mortality", US_national_yearly!$D:$AM, 12, FALSE) / VLOOKUP("industry|SO2|Premature mortality", US_national_yearly!$D:$AM, 10, FALSE), 1)</f>
        <v>1.328453450869145E-3</v>
      </c>
      <c r="E2" s="7">
        <f>$B2 * IFERROR(VLOOKUP("industry|SO2|Premature mortality", US_national_yearly!$D:$AM, 13, FALSE) / VLOOKUP("industry|SO2|Premature mortality", US_national_yearly!$D:$AM, 10, FALSE), 1)</f>
        <v>1.3448777085685814E-3</v>
      </c>
      <c r="F2" s="7">
        <f>$B2 * IFERROR(VLOOKUP("industry|SO2|Premature mortality", US_national_yearly!$D:$AM, 14, FALSE) / VLOOKUP("industry|SO2|Premature mortality", US_national_yearly!$D:$AM, 10, FALSE), 1)</f>
        <v>1.3613019662680179E-3</v>
      </c>
      <c r="G2" s="7">
        <f>$B2 * IFERROR(VLOOKUP("industry|SO2|Premature mortality", US_national_yearly!$D:$AM, 15, FALSE) / VLOOKUP("industry|SO2|Premature mortality", US_national_yearly!$D:$AM, 10, FALSE), 1)</f>
        <v>1.3929591253962748E-3</v>
      </c>
      <c r="H2" s="7">
        <f>$B2 * IFERROR(VLOOKUP("industry|SO2|Premature mortality", US_national_yearly!$D:$AM, 16, FALSE) / VLOOKUP("industry|SO2|Premature mortality", US_national_yearly!$D:$AM, 10, FALSE), 1)</f>
        <v>1.4246162845245318E-3</v>
      </c>
      <c r="I2" s="7">
        <f>$B2 * IFERROR(VLOOKUP("industry|SO2|Premature mortality", US_national_yearly!$D:$AM, 17, FALSE) / VLOOKUP("industry|SO2|Premature mortality", US_national_yearly!$D:$AM, 10, FALSE), 1)</f>
        <v>1.4455787287273238E-3</v>
      </c>
      <c r="J2" s="7">
        <f>$B2 * IFERROR(VLOOKUP("industry|SO2|Premature mortality", US_national_yearly!$D:$AM, 18, FALSE) / VLOOKUP("industry|SO2|Premature mortality", US_national_yearly!$D:$AM, 10, FALSE), 1)</f>
        <v>1.4665411729301156E-3</v>
      </c>
      <c r="K2" s="7">
        <f>$B2 * IFERROR(VLOOKUP("industry|SO2|Premature mortality", US_national_yearly!$D:$AM, 19, FALSE) / VLOOKUP("industry|SO2|Premature mortality", US_national_yearly!$D:$AM, 10, FALSE), 1)</f>
        <v>1.4875036171329073E-3</v>
      </c>
      <c r="L2" s="7">
        <f>$B2 * IFERROR(VLOOKUP("industry|SO2|Premature mortality", US_national_yearly!$D:$AM, 20, FALSE) / VLOOKUP("industry|SO2|Premature mortality", US_national_yearly!$D:$AM, 10, FALSE), 1)</f>
        <v>1.5084660613356993E-3</v>
      </c>
      <c r="M2" s="7">
        <f>$B2 * IFERROR(VLOOKUP("industry|SO2|Premature mortality", US_national_yearly!$D:$AM, 21, FALSE) / VLOOKUP("industry|SO2|Premature mortality", US_national_yearly!$D:$AM, 10, FALSE), 1)</f>
        <v>1.5294285055384913E-3</v>
      </c>
      <c r="N2" s="7">
        <f>$B2 * IFERROR(VLOOKUP("industry|SO2|Premature mortality", US_national_yearly!$D:$AM, 22, FALSE) / VLOOKUP("industry|SO2|Premature mortality", US_national_yearly!$D:$AM, 10, FALSE), 1)</f>
        <v>1.5458261209643459E-3</v>
      </c>
      <c r="O2" s="7">
        <f>$B2 * IFERROR(VLOOKUP("industry|SO2|Premature mortality", US_national_yearly!$D:$AM, 23, FALSE) / VLOOKUP("industry|SO2|Premature mortality", US_national_yearly!$D:$AM, 10, FALSE), 1)</f>
        <v>1.5622237363902007E-3</v>
      </c>
      <c r="P2" s="7">
        <f>$B2 * IFERROR(VLOOKUP("industry|SO2|Premature mortality", US_national_yearly!$D:$AM, 24, FALSE) / VLOOKUP("industry|SO2|Premature mortality", US_national_yearly!$D:$AM, 10, FALSE), 1)</f>
        <v>1.5786213518160556E-3</v>
      </c>
      <c r="Q2" s="7">
        <f>$B2 * IFERROR(VLOOKUP("industry|SO2|Premature mortality", US_national_yearly!$D:$AM, 25, FALSE) / VLOOKUP("industry|SO2|Premature mortality", US_national_yearly!$D:$AM, 10, FALSE), 1)</f>
        <v>1.5950189672419102E-3</v>
      </c>
      <c r="R2" s="7">
        <f>$B2 * IFERROR(VLOOKUP("industry|SO2|Premature mortality", US_national_yearly!$D:$AM, 26, FALSE) / VLOOKUP("industry|SO2|Premature mortality", US_national_yearly!$D:$AM, 10, FALSE), 1)</f>
        <v>1.611416582667765E-3</v>
      </c>
      <c r="S2" s="7">
        <f>$B2 * IFERROR(VLOOKUP("industry|SO2|Premature mortality", US_national_yearly!$D:$AM, 27, FALSE) / VLOOKUP("industry|SO2|Premature mortality", US_national_yearly!$D:$AM, 10, FALSE), 1)</f>
        <v>1.6202703916418815E-3</v>
      </c>
      <c r="T2" s="7">
        <f>$B2 * IFERROR(VLOOKUP("industry|SO2|Premature mortality", US_national_yearly!$D:$AM, 28, FALSE) / VLOOKUP("industry|SO2|Premature mortality", US_national_yearly!$D:$AM, 10, FALSE), 1)</f>
        <v>1.629124200615998E-3</v>
      </c>
      <c r="U2" s="7">
        <f>$B2 * IFERROR(VLOOKUP("industry|SO2|Premature mortality", US_national_yearly!$D:$AM, 29, FALSE) / VLOOKUP("industry|SO2|Premature mortality", US_national_yearly!$D:$AM, 10, FALSE), 1)</f>
        <v>1.6379780095901152E-3</v>
      </c>
      <c r="V2" s="7">
        <f>$B2 * IFERROR(VLOOKUP("industry|SO2|Premature mortality", US_national_yearly!$D:$AM, 30, FALSE) / VLOOKUP("industry|SO2|Premature mortality", US_national_yearly!$D:$AM, 10, FALSE), 1)</f>
        <v>1.6468318185642319E-3</v>
      </c>
      <c r="W2" s="7">
        <f>$B2 * IFERROR(VLOOKUP("industry|SO2|Premature mortality", US_national_yearly!$D:$AM, 31, FALSE) / VLOOKUP("industry|SO2|Premature mortality", US_national_yearly!$D:$AM, 10, FALSE), 1)</f>
        <v>1.6556856275383486E-3</v>
      </c>
      <c r="X2" s="7">
        <f>$B2 * IFERROR(VLOOKUP("industry|SO2|Premature mortality", US_national_yearly!$D:$AM, 32, FALSE) / VLOOKUP("industry|SO2|Premature mortality", US_national_yearly!$D:$AM, 10, FALSE), 1)</f>
        <v>1.6575912373938825E-3</v>
      </c>
      <c r="Y2" s="7">
        <f>$B2 * IFERROR(VLOOKUP("industry|SO2|Premature mortality", US_national_yearly!$D:$AM, 33, FALSE) / VLOOKUP("industry|SO2|Premature mortality", US_national_yearly!$D:$AM, 10, FALSE), 1)</f>
        <v>1.6594968472494163E-3</v>
      </c>
      <c r="Z2" s="7">
        <f>$B2 * IFERROR(VLOOKUP("industry|SO2|Premature mortality", US_national_yearly!$D:$AM, 34, FALSE) / VLOOKUP("industry|SO2|Premature mortality", US_national_yearly!$D:$AM, 10, FALSE), 1)</f>
        <v>1.6614024571049507E-3</v>
      </c>
      <c r="AA2" s="7">
        <f>$B2 * IFERROR(VLOOKUP("industry|SO2|Premature mortality", US_national_yearly!$D:$AM, 35, FALSE) / VLOOKUP("industry|SO2|Premature mortality", US_national_yearly!$D:$AM, 10, FALSE), 1)</f>
        <v>1.6633080669604845E-3</v>
      </c>
      <c r="AB2" s="7">
        <f>$B2 * IFERROR(VLOOKUP("industry|SO2|Premature mortality", US_national_yearly!$D:$AM, 36, FALSE) / VLOOKUP("industry|SO2|Premature mortality", US_national_yearly!$D:$AM, 10, FALSE), 1)</f>
        <v>1.6652136768160184E-3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3.894653135412052E-6</v>
      </c>
      <c r="C3" s="7">
        <f>$B3 * IFERROR(VLOOKUP("industry|SO2|Infant mortality", US_national_yearly!$D:$AM, 11, FALSE) / VLOOKUP("industry|SO2|Infant mortality", US_national_yearly!$D:$AM, 10, FALSE), 1)</f>
        <v>3.8611471341450725E-6</v>
      </c>
      <c r="D3" s="7">
        <f>$B3 * IFERROR(VLOOKUP("industry|SO2|Infant mortality", US_national_yearly!$D:$AM, 12, FALSE) / VLOOKUP("industry|SO2|Infant mortality", US_national_yearly!$D:$AM, 10, FALSE), 1)</f>
        <v>3.8276411328780929E-6</v>
      </c>
      <c r="E3" s="7">
        <f>$B3 * IFERROR(VLOOKUP("industry|SO2|Infant mortality", US_national_yearly!$D:$AM, 13, FALSE) / VLOOKUP("industry|SO2|Infant mortality", US_national_yearly!$D:$AM, 10, FALSE), 1)</f>
        <v>3.7941351316111134E-6</v>
      </c>
      <c r="F3" s="7">
        <f>$B3 * IFERROR(VLOOKUP("industry|SO2|Infant mortality", US_national_yearly!$D:$AM, 14, FALSE) / VLOOKUP("industry|SO2|Infant mortality", US_national_yearly!$D:$AM, 10, FALSE), 1)</f>
        <v>3.7606291303441339E-6</v>
      </c>
      <c r="G3" s="7">
        <f>$B3 * IFERROR(VLOOKUP("industry|SO2|Infant mortality", US_national_yearly!$D:$AM, 15, FALSE) / VLOOKUP("industry|SO2|Infant mortality", US_national_yearly!$D:$AM, 10, FALSE), 1)</f>
        <v>2.5034445929946187E-6</v>
      </c>
      <c r="H3" s="7">
        <f>$B3 * IFERROR(VLOOKUP("industry|SO2|Infant mortality", US_national_yearly!$D:$AM, 16, FALSE) / VLOOKUP("industry|SO2|Infant mortality", US_national_yearly!$D:$AM, 10, FALSE), 1)</f>
        <v>1.2462600556451033E-6</v>
      </c>
      <c r="I3" s="7">
        <f>$B3 * IFERROR(VLOOKUP("industry|SO2|Infant mortality", US_national_yearly!$D:$AM, 17, FALSE) / VLOOKUP("industry|SO2|Infant mortality", US_national_yearly!$D:$AM, 10, FALSE), 1)</f>
        <v>1.2383464105861896E-6</v>
      </c>
      <c r="J3" s="7">
        <f>$B3 * IFERROR(VLOOKUP("industry|SO2|Infant mortality", US_national_yearly!$D:$AM, 18, FALSE) / VLOOKUP("industry|SO2|Infant mortality", US_national_yearly!$D:$AM, 10, FALSE), 1)</f>
        <v>1.2304327655272762E-6</v>
      </c>
      <c r="K3" s="7">
        <f>$B3 * IFERROR(VLOOKUP("industry|SO2|Infant mortality", US_national_yearly!$D:$AM, 19, FALSE) / VLOOKUP("industry|SO2|Infant mortality", US_national_yearly!$D:$AM, 10, FALSE), 1)</f>
        <v>1.2225191204683625E-6</v>
      </c>
      <c r="L3" s="7">
        <f>$B3 * IFERROR(VLOOKUP("industry|SO2|Infant mortality", US_national_yearly!$D:$AM, 20, FALSE) / VLOOKUP("industry|SO2|Infant mortality", US_national_yearly!$D:$AM, 10, FALSE), 1)</f>
        <v>1.2146054754094488E-6</v>
      </c>
      <c r="M3" s="7">
        <f>$B3 * IFERROR(VLOOKUP("industry|SO2|Infant mortality", US_national_yearly!$D:$AM, 21, FALSE) / VLOOKUP("industry|SO2|Infant mortality", US_national_yearly!$D:$AM, 10, FALSE), 1)</f>
        <v>1.2066918303505351E-6</v>
      </c>
      <c r="N3" s="7">
        <f>$B3 * IFERROR(VLOOKUP("industry|SO2|Infant mortality", US_national_yearly!$D:$AM, 22, FALSE) / VLOOKUP("industry|SO2|Infant mortality", US_national_yearly!$D:$AM, 10, FALSE), 1)</f>
        <v>1.2016761249343054E-6</v>
      </c>
      <c r="O3" s="7">
        <f>$B3 * IFERROR(VLOOKUP("industry|SO2|Infant mortality", US_national_yearly!$D:$AM, 23, FALSE) / VLOOKUP("industry|SO2|Infant mortality", US_national_yearly!$D:$AM, 10, FALSE), 1)</f>
        <v>1.1966604195180754E-6</v>
      </c>
      <c r="P3" s="7">
        <f>$B3 * IFERROR(VLOOKUP("industry|SO2|Infant mortality", US_national_yearly!$D:$AM, 24, FALSE) / VLOOKUP("industry|SO2|Infant mortality", US_national_yearly!$D:$AM, 10, FALSE), 1)</f>
        <v>1.1916447141018455E-6</v>
      </c>
      <c r="Q3" s="7">
        <f>$B3 * IFERROR(VLOOKUP("industry|SO2|Infant mortality", US_national_yearly!$D:$AM, 25, FALSE) / VLOOKUP("industry|SO2|Infant mortality", US_national_yearly!$D:$AM, 10, FALSE), 1)</f>
        <v>1.1866290086856156E-6</v>
      </c>
      <c r="R3" s="7">
        <f>$B3 * IFERROR(VLOOKUP("industry|SO2|Infant mortality", US_national_yearly!$D:$AM, 26, FALSE) / VLOOKUP("industry|SO2|Infant mortality", US_national_yearly!$D:$AM, 10, FALSE), 1)</f>
        <v>1.1816133032693858E-6</v>
      </c>
      <c r="S3" s="7">
        <f>$B3 * IFERROR(VLOOKUP("industry|SO2|Infant mortality", US_national_yearly!$D:$AM, 27, FALSE) / VLOOKUP("industry|SO2|Infant mortality", US_national_yearly!$D:$AM, 10, FALSE), 1)</f>
        <v>1.1753713150964707E-6</v>
      </c>
      <c r="T3" s="7">
        <f>$B3 * IFERROR(VLOOKUP("industry|SO2|Infant mortality", US_national_yearly!$D:$AM, 28, FALSE) / VLOOKUP("industry|SO2|Infant mortality", US_national_yearly!$D:$AM, 10, FALSE), 1)</f>
        <v>1.1691293269235558E-6</v>
      </c>
      <c r="U3" s="7">
        <f>$B3 * IFERROR(VLOOKUP("industry|SO2|Infant mortality", US_national_yearly!$D:$AM, 29, FALSE) / VLOOKUP("industry|SO2|Infant mortality", US_national_yearly!$D:$AM, 10, FALSE), 1)</f>
        <v>1.162887338750641E-6</v>
      </c>
      <c r="V3" s="7">
        <f>$B3 * IFERROR(VLOOKUP("industry|SO2|Infant mortality", US_national_yearly!$D:$AM, 30, FALSE) / VLOOKUP("industry|SO2|Infant mortality", US_national_yearly!$D:$AM, 10, FALSE), 1)</f>
        <v>1.1566453505777261E-6</v>
      </c>
      <c r="W3" s="7">
        <f>$B3 * IFERROR(VLOOKUP("industry|SO2|Infant mortality", US_national_yearly!$D:$AM, 31, FALSE) / VLOOKUP("industry|SO2|Infant mortality", US_national_yearly!$D:$AM, 10, FALSE), 1)</f>
        <v>1.1504033624048112E-6</v>
      </c>
      <c r="X3" s="7">
        <f>$B3 * IFERROR(VLOOKUP("industry|SO2|Infant mortality", US_national_yearly!$D:$AM, 32, FALSE) / VLOOKUP("industry|SO2|Infant mortality", US_national_yearly!$D:$AM, 10, FALSE), 1)</f>
        <v>1.1436201840017801E-6</v>
      </c>
      <c r="Y3" s="7">
        <f>$B3 * IFERROR(VLOOKUP("industry|SO2|Infant mortality", US_national_yearly!$D:$AM, 33, FALSE) / VLOOKUP("industry|SO2|Infant mortality", US_national_yearly!$D:$AM, 10, FALSE), 1)</f>
        <v>1.1368370055987493E-6</v>
      </c>
      <c r="Z3" s="7">
        <f>$B3 * IFERROR(VLOOKUP("industry|SO2|Infant mortality", US_national_yearly!$D:$AM, 34, FALSE) / VLOOKUP("industry|SO2|Infant mortality", US_national_yearly!$D:$AM, 10, FALSE), 1)</f>
        <v>1.1300538271957183E-6</v>
      </c>
      <c r="AA3" s="7">
        <f>$B3 * IFERROR(VLOOKUP("industry|SO2|Infant mortality", US_national_yearly!$D:$AM, 35, FALSE) / VLOOKUP("industry|SO2|Infant mortality", US_national_yearly!$D:$AM, 10, FALSE), 1)</f>
        <v>1.1232706487926875E-6</v>
      </c>
      <c r="AB3" s="7">
        <f>$B3 * IFERROR(VLOOKUP("industry|SO2|Infant mortality", US_national_yearly!$D:$AM, 36, FALSE) / VLOOKUP("industry|SO2|Infant mortality", US_national_yearly!$D:$AM, 10, FALSE), 1)</f>
        <v>1.1164874703896564E-6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4.0582833327308665E-3</v>
      </c>
      <c r="C6" s="7">
        <f>$B6 * IFERROR(VLOOKUP("industry|SO2|Asthma symptoms cough", US_national_yearly!$D:$AM, 11, FALSE) / VLOOKUP("industry|SO2|Asthma symptoms cough", US_national_yearly!$D:$AM, 10, FALSE), 1)</f>
        <v>4.0582833327308665E-3</v>
      </c>
      <c r="D6" s="7">
        <f>$B6 * IFERROR(VLOOKUP("industry|SO2|Asthma symptoms cough", US_national_yearly!$D:$AM, 12, FALSE) / VLOOKUP("industry|SO2|Asthma symptoms cough", US_national_yearly!$D:$AM, 10, FALSE), 1)</f>
        <v>4.0582833327308665E-3</v>
      </c>
      <c r="E6" s="7">
        <f>$B6 * IFERROR(VLOOKUP("industry|SO2|Asthma symptoms cough", US_national_yearly!$D:$AM, 13, FALSE) / VLOOKUP("industry|SO2|Asthma symptoms cough", US_national_yearly!$D:$AM, 10, FALSE), 1)</f>
        <v>4.0582833327308665E-3</v>
      </c>
      <c r="F6" s="7">
        <f>$B6 * IFERROR(VLOOKUP("industry|SO2|Asthma symptoms cough", US_national_yearly!$D:$AM, 14, FALSE) / VLOOKUP("industry|SO2|Asthma symptoms cough", US_national_yearly!$D:$AM, 10, FALSE), 1)</f>
        <v>4.0582833327308665E-3</v>
      </c>
      <c r="G6" s="7">
        <f>$B6 * IFERROR(VLOOKUP("industry|SO2|Asthma symptoms cough", US_national_yearly!$D:$AM, 15, FALSE) / VLOOKUP("industry|SO2|Asthma symptoms cough", US_national_yearly!$D:$AM, 10, FALSE), 1)</f>
        <v>4.0582833327308665E-3</v>
      </c>
      <c r="H6" s="7">
        <f>$B6 * IFERROR(VLOOKUP("industry|SO2|Asthma symptoms cough", US_national_yearly!$D:$AM, 16, FALSE) / VLOOKUP("industry|SO2|Asthma symptoms cough", US_national_yearly!$D:$AM, 10, FALSE), 1)</f>
        <v>4.0582833327308665E-3</v>
      </c>
      <c r="I6" s="7">
        <f>$B6 * IFERROR(VLOOKUP("industry|SO2|Asthma symptoms cough", US_national_yearly!$D:$AM, 17, FALSE) / VLOOKUP("industry|SO2|Asthma symptoms cough", US_national_yearly!$D:$AM, 10, FALSE), 1)</f>
        <v>4.0582833327308665E-3</v>
      </c>
      <c r="J6" s="7">
        <f>$B6 * IFERROR(VLOOKUP("industry|SO2|Asthma symptoms cough", US_national_yearly!$D:$AM, 18, FALSE) / VLOOKUP("industry|SO2|Asthma symptoms cough", US_national_yearly!$D:$AM, 10, FALSE), 1)</f>
        <v>4.0582833327308665E-3</v>
      </c>
      <c r="K6" s="7">
        <f>$B6 * IFERROR(VLOOKUP("industry|SO2|Asthma symptoms cough", US_national_yearly!$D:$AM, 19, FALSE) / VLOOKUP("industry|SO2|Asthma symptoms cough", US_national_yearly!$D:$AM, 10, FALSE), 1)</f>
        <v>4.0582833327308665E-3</v>
      </c>
      <c r="L6" s="7">
        <f>$B6 * IFERROR(VLOOKUP("industry|SO2|Asthma symptoms cough", US_national_yearly!$D:$AM, 20, FALSE) / VLOOKUP("industry|SO2|Asthma symptoms cough", US_national_yearly!$D:$AM, 10, FALSE), 1)</f>
        <v>4.0582833327308665E-3</v>
      </c>
      <c r="M6" s="7">
        <f>$B6 * IFERROR(VLOOKUP("industry|SO2|Asthma symptoms cough", US_national_yearly!$D:$AM, 21, FALSE) / VLOOKUP("industry|SO2|Asthma symptoms cough", US_national_yearly!$D:$AM, 10, FALSE), 1)</f>
        <v>4.0582833327308665E-3</v>
      </c>
      <c r="N6" s="7">
        <f>$B6 * IFERROR(VLOOKUP("industry|SO2|Asthma symptoms cough", US_national_yearly!$D:$AM, 22, FALSE) / VLOOKUP("industry|SO2|Asthma symptoms cough", US_national_yearly!$D:$AM, 10, FALSE), 1)</f>
        <v>4.0582833327308665E-3</v>
      </c>
      <c r="O6" s="7">
        <f>$B6 * IFERROR(VLOOKUP("industry|SO2|Asthma symptoms cough", US_national_yearly!$D:$AM, 23, FALSE) / VLOOKUP("industry|SO2|Asthma symptoms cough", US_national_yearly!$D:$AM, 10, FALSE), 1)</f>
        <v>4.0582833327308665E-3</v>
      </c>
      <c r="P6" s="7">
        <f>$B6 * IFERROR(VLOOKUP("industry|SO2|Asthma symptoms cough", US_national_yearly!$D:$AM, 24, FALSE) / VLOOKUP("industry|SO2|Asthma symptoms cough", US_national_yearly!$D:$AM, 10, FALSE), 1)</f>
        <v>4.0582833327308665E-3</v>
      </c>
      <c r="Q6" s="7">
        <f>$B6 * IFERROR(VLOOKUP("industry|SO2|Asthma symptoms cough", US_national_yearly!$D:$AM, 25, FALSE) / VLOOKUP("industry|SO2|Asthma symptoms cough", US_national_yearly!$D:$AM, 10, FALSE), 1)</f>
        <v>4.0582833327308665E-3</v>
      </c>
      <c r="R6" s="7">
        <f>$B6 * IFERROR(VLOOKUP("industry|SO2|Asthma symptoms cough", US_national_yearly!$D:$AM, 26, FALSE) / VLOOKUP("industry|SO2|Asthma symptoms cough", US_national_yearly!$D:$AM, 10, FALSE), 1)</f>
        <v>4.0582833327308665E-3</v>
      </c>
      <c r="S6" s="7">
        <f>$B6 * IFERROR(VLOOKUP("industry|SO2|Asthma symptoms cough", US_national_yearly!$D:$AM, 27, FALSE) / VLOOKUP("industry|SO2|Asthma symptoms cough", US_national_yearly!$D:$AM, 10, FALSE), 1)</f>
        <v>4.0582833327308665E-3</v>
      </c>
      <c r="T6" s="7">
        <f>$B6 * IFERROR(VLOOKUP("industry|SO2|Asthma symptoms cough", US_national_yearly!$D:$AM, 28, FALSE) / VLOOKUP("industry|SO2|Asthma symptoms cough", US_national_yearly!$D:$AM, 10, FALSE), 1)</f>
        <v>4.0582833327308665E-3</v>
      </c>
      <c r="U6" s="7">
        <f>$B6 * IFERROR(VLOOKUP("industry|SO2|Asthma symptoms cough", US_national_yearly!$D:$AM, 29, FALSE) / VLOOKUP("industry|SO2|Asthma symptoms cough", US_national_yearly!$D:$AM, 10, FALSE), 1)</f>
        <v>4.0582833327308665E-3</v>
      </c>
      <c r="V6" s="7">
        <f>$B6 * IFERROR(VLOOKUP("industry|SO2|Asthma symptoms cough", US_national_yearly!$D:$AM, 30, FALSE) / VLOOKUP("industry|SO2|Asthma symptoms cough", US_national_yearly!$D:$AM, 10, FALSE), 1)</f>
        <v>4.0582833327308665E-3</v>
      </c>
      <c r="W6" s="7">
        <f>$B6 * IFERROR(VLOOKUP("industry|SO2|Asthma symptoms cough", US_national_yearly!$D:$AM, 31, FALSE) / VLOOKUP("industry|SO2|Asthma symptoms cough", US_national_yearly!$D:$AM, 10, FALSE), 1)</f>
        <v>4.0582833327308665E-3</v>
      </c>
      <c r="X6" s="7">
        <f>$B6 * IFERROR(VLOOKUP("industry|SO2|Asthma symptoms cough", US_national_yearly!$D:$AM, 32, FALSE) / VLOOKUP("industry|SO2|Asthma symptoms cough", US_national_yearly!$D:$AM, 10, FALSE), 1)</f>
        <v>4.0582833327308665E-3</v>
      </c>
      <c r="Y6" s="7">
        <f>$B6 * IFERROR(VLOOKUP("industry|SO2|Asthma symptoms cough", US_national_yearly!$D:$AM, 33, FALSE) / VLOOKUP("industry|SO2|Asthma symptoms cough", US_national_yearly!$D:$AM, 10, FALSE), 1)</f>
        <v>4.0582833327308665E-3</v>
      </c>
      <c r="Z6" s="7">
        <f>$B6 * IFERROR(VLOOKUP("industry|SO2|Asthma symptoms cough", US_national_yearly!$D:$AM, 34, FALSE) / VLOOKUP("industry|SO2|Asthma symptoms cough", US_national_yearly!$D:$AM, 10, FALSE), 1)</f>
        <v>4.0582833327308665E-3</v>
      </c>
      <c r="AA6" s="7">
        <f>$B6 * IFERROR(VLOOKUP("industry|SO2|Asthma symptoms cough", US_national_yearly!$D:$AM, 35, FALSE) / VLOOKUP("industry|SO2|Asthma symptoms cough", US_national_yearly!$D:$AM, 10, FALSE), 1)</f>
        <v>4.0582833327308665E-3</v>
      </c>
      <c r="AB6" s="7">
        <f>$B6 * IFERROR(VLOOKUP("industry|SO2|Asthma symptoms cough", US_national_yearly!$D:$AM, 36, FALSE) / VLOOKUP("industry|SO2|Asthma symptoms cough", US_national_yearly!$D:$AM, 10, FALSE), 1)</f>
        <v>4.0582833327308665E-3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5.4650568895836995E-3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5.4650568895836995E-3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5.4650568895836995E-3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5.4650568895836995E-3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5.4650568895836995E-3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5.4650568895836995E-3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5.4650568895836995E-3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5.4650568895836995E-3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5.4650568895836995E-3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5.4650568895836995E-3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5.4650568895836995E-3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5.4650568895836995E-3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5.4650568895836995E-3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5.4650568895836995E-3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5.4650568895836995E-3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5.4650568895836995E-3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5.4650568895836995E-3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5.4650568895836995E-3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5.4650568895836995E-3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5.4650568895836995E-3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5.4650568895836995E-3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5.4650568895836995E-3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5.4650568895836995E-3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5.4650568895836995E-3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5.4650568895836995E-3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5.4650568895836995E-3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5.4650568895836995E-3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8.3497181604279668E-3</v>
      </c>
      <c r="C8" s="7">
        <f>$B8 * IFERROR(VLOOKUP("industry|SO2|Asthma symptoms wheeze", US_national_yearly!$D:$AM, 11, FALSE) / VLOOKUP("industry|SO2|Asthma symptoms wheeze", US_national_yearly!$D:$AM, 10, FALSE), 1)</f>
        <v>8.3497181604279668E-3</v>
      </c>
      <c r="D8" s="7">
        <f>$B8 * IFERROR(VLOOKUP("industry|SO2|Asthma symptoms wheeze", US_national_yearly!$D:$AM, 12, FALSE) / VLOOKUP("industry|SO2|Asthma symptoms wheeze", US_national_yearly!$D:$AM, 10, FALSE), 1)</f>
        <v>8.3497181604279668E-3</v>
      </c>
      <c r="E8" s="7">
        <f>$B8 * IFERROR(VLOOKUP("industry|SO2|Asthma symptoms wheeze", US_national_yearly!$D:$AM, 13, FALSE) / VLOOKUP("industry|SO2|Asthma symptoms wheeze", US_national_yearly!$D:$AM, 10, FALSE), 1)</f>
        <v>8.3497181604279668E-3</v>
      </c>
      <c r="F8" s="7">
        <f>$B8 * IFERROR(VLOOKUP("industry|SO2|Asthma symptoms wheeze", US_national_yearly!$D:$AM, 14, FALSE) / VLOOKUP("industry|SO2|Asthma symptoms wheeze", US_national_yearly!$D:$AM, 10, FALSE), 1)</f>
        <v>8.3497181604279668E-3</v>
      </c>
      <c r="G8" s="7">
        <f>$B8 * IFERROR(VLOOKUP("industry|SO2|Asthma symptoms wheeze", US_national_yearly!$D:$AM, 15, FALSE) / VLOOKUP("industry|SO2|Asthma symptoms wheeze", US_national_yearly!$D:$AM, 10, FALSE), 1)</f>
        <v>8.3497181604279668E-3</v>
      </c>
      <c r="H8" s="7">
        <f>$B8 * IFERROR(VLOOKUP("industry|SO2|Asthma symptoms wheeze", US_national_yearly!$D:$AM, 16, FALSE) / VLOOKUP("industry|SO2|Asthma symptoms wheeze", US_national_yearly!$D:$AM, 10, FALSE), 1)</f>
        <v>8.3497181604279668E-3</v>
      </c>
      <c r="I8" s="7">
        <f>$B8 * IFERROR(VLOOKUP("industry|SO2|Asthma symptoms wheeze", US_national_yearly!$D:$AM, 17, FALSE) / VLOOKUP("industry|SO2|Asthma symptoms wheeze", US_national_yearly!$D:$AM, 10, FALSE), 1)</f>
        <v>8.3497181604279668E-3</v>
      </c>
      <c r="J8" s="7">
        <f>$B8 * IFERROR(VLOOKUP("industry|SO2|Asthma symptoms wheeze", US_national_yearly!$D:$AM, 18, FALSE) / VLOOKUP("industry|SO2|Asthma symptoms wheeze", US_national_yearly!$D:$AM, 10, FALSE), 1)</f>
        <v>8.3497181604279668E-3</v>
      </c>
      <c r="K8" s="7">
        <f>$B8 * IFERROR(VLOOKUP("industry|SO2|Asthma symptoms wheeze", US_national_yearly!$D:$AM, 19, FALSE) / VLOOKUP("industry|SO2|Asthma symptoms wheeze", US_national_yearly!$D:$AM, 10, FALSE), 1)</f>
        <v>8.3497181604279668E-3</v>
      </c>
      <c r="L8" s="7">
        <f>$B8 * IFERROR(VLOOKUP("industry|SO2|Asthma symptoms wheeze", US_national_yearly!$D:$AM, 20, FALSE) / VLOOKUP("industry|SO2|Asthma symptoms wheeze", US_national_yearly!$D:$AM, 10, FALSE), 1)</f>
        <v>8.3497181604279668E-3</v>
      </c>
      <c r="M8" s="7">
        <f>$B8 * IFERROR(VLOOKUP("industry|SO2|Asthma symptoms wheeze", US_national_yearly!$D:$AM, 21, FALSE) / VLOOKUP("industry|SO2|Asthma symptoms wheeze", US_national_yearly!$D:$AM, 10, FALSE), 1)</f>
        <v>8.3497181604279668E-3</v>
      </c>
      <c r="N8" s="7">
        <f>$B8 * IFERROR(VLOOKUP("industry|SO2|Asthma symptoms wheeze", US_national_yearly!$D:$AM, 22, FALSE) / VLOOKUP("industry|SO2|Asthma symptoms wheeze", US_national_yearly!$D:$AM, 10, FALSE), 1)</f>
        <v>8.3497181604279668E-3</v>
      </c>
      <c r="O8" s="7">
        <f>$B8 * IFERROR(VLOOKUP("industry|SO2|Asthma symptoms wheeze", US_national_yearly!$D:$AM, 23, FALSE) / VLOOKUP("industry|SO2|Asthma symptoms wheeze", US_national_yearly!$D:$AM, 10, FALSE), 1)</f>
        <v>8.3497181604279668E-3</v>
      </c>
      <c r="P8" s="7">
        <f>$B8 * IFERROR(VLOOKUP("industry|SO2|Asthma symptoms wheeze", US_national_yearly!$D:$AM, 24, FALSE) / VLOOKUP("industry|SO2|Asthma symptoms wheeze", US_national_yearly!$D:$AM, 10, FALSE), 1)</f>
        <v>8.3497181604279668E-3</v>
      </c>
      <c r="Q8" s="7">
        <f>$B8 * IFERROR(VLOOKUP("industry|SO2|Asthma symptoms wheeze", US_national_yearly!$D:$AM, 25, FALSE) / VLOOKUP("industry|SO2|Asthma symptoms wheeze", US_national_yearly!$D:$AM, 10, FALSE), 1)</f>
        <v>8.3497181604279668E-3</v>
      </c>
      <c r="R8" s="7">
        <f>$B8 * IFERROR(VLOOKUP("industry|SO2|Asthma symptoms wheeze", US_national_yearly!$D:$AM, 26, FALSE) / VLOOKUP("industry|SO2|Asthma symptoms wheeze", US_national_yearly!$D:$AM, 10, FALSE), 1)</f>
        <v>8.3497181604279668E-3</v>
      </c>
      <c r="S8" s="7">
        <f>$B8 * IFERROR(VLOOKUP("industry|SO2|Asthma symptoms wheeze", US_national_yearly!$D:$AM, 27, FALSE) / VLOOKUP("industry|SO2|Asthma symptoms wheeze", US_national_yearly!$D:$AM, 10, FALSE), 1)</f>
        <v>8.3497181604279668E-3</v>
      </c>
      <c r="T8" s="7">
        <f>$B8 * IFERROR(VLOOKUP("industry|SO2|Asthma symptoms wheeze", US_national_yearly!$D:$AM, 28, FALSE) / VLOOKUP("industry|SO2|Asthma symptoms wheeze", US_national_yearly!$D:$AM, 10, FALSE), 1)</f>
        <v>8.3497181604279668E-3</v>
      </c>
      <c r="U8" s="7">
        <f>$B8 * IFERROR(VLOOKUP("industry|SO2|Asthma symptoms wheeze", US_national_yearly!$D:$AM, 29, FALSE) / VLOOKUP("industry|SO2|Asthma symptoms wheeze", US_national_yearly!$D:$AM, 10, FALSE), 1)</f>
        <v>8.3497181604279668E-3</v>
      </c>
      <c r="V8" s="7">
        <f>$B8 * IFERROR(VLOOKUP("industry|SO2|Asthma symptoms wheeze", US_national_yearly!$D:$AM, 30, FALSE) / VLOOKUP("industry|SO2|Asthma symptoms wheeze", US_national_yearly!$D:$AM, 10, FALSE), 1)</f>
        <v>8.3497181604279668E-3</v>
      </c>
      <c r="W8" s="7">
        <f>$B8 * IFERROR(VLOOKUP("industry|SO2|Asthma symptoms wheeze", US_national_yearly!$D:$AM, 31, FALSE) / VLOOKUP("industry|SO2|Asthma symptoms wheeze", US_national_yearly!$D:$AM, 10, FALSE), 1)</f>
        <v>8.3497181604279668E-3</v>
      </c>
      <c r="X8" s="7">
        <f>$B8 * IFERROR(VLOOKUP("industry|SO2|Asthma symptoms wheeze", US_national_yearly!$D:$AM, 32, FALSE) / VLOOKUP("industry|SO2|Asthma symptoms wheeze", US_national_yearly!$D:$AM, 10, FALSE), 1)</f>
        <v>8.3497181604279668E-3</v>
      </c>
      <c r="Y8" s="7">
        <f>$B8 * IFERROR(VLOOKUP("industry|SO2|Asthma symptoms wheeze", US_national_yearly!$D:$AM, 33, FALSE) / VLOOKUP("industry|SO2|Asthma symptoms wheeze", US_national_yearly!$D:$AM, 10, FALSE), 1)</f>
        <v>8.3497181604279668E-3</v>
      </c>
      <c r="Z8" s="7">
        <f>$B8 * IFERROR(VLOOKUP("industry|SO2|Asthma symptoms wheeze", US_national_yearly!$D:$AM, 34, FALSE) / VLOOKUP("industry|SO2|Asthma symptoms wheeze", US_national_yearly!$D:$AM, 10, FALSE), 1)</f>
        <v>8.3497181604279668E-3</v>
      </c>
      <c r="AA8" s="7">
        <f>$B8 * IFERROR(VLOOKUP("industry|SO2|Asthma symptoms wheeze", US_national_yearly!$D:$AM, 35, FALSE) / VLOOKUP("industry|SO2|Asthma symptoms wheeze", US_national_yearly!$D:$AM, 10, FALSE), 1)</f>
        <v>8.3497181604279668E-3</v>
      </c>
      <c r="AB8" s="7">
        <f>$B8 * IFERROR(VLOOKUP("industry|SO2|Asthma symptoms wheeze", US_national_yearly!$D:$AM, 36, FALSE) / VLOOKUP("industry|SO2|Asthma symptoms wheeze", US_national_yearly!$D:$AM, 10, FALSE), 1)</f>
        <v>8.3497181604279668E-3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8.6015415290157713E-5</v>
      </c>
      <c r="C12" s="7">
        <f>$B12 * IFERROR(VLOOKUP("industry|SO2|Respiratory hospital admissions", US_national_yearly!$D:$AM, 11, FALSE) / VLOOKUP("industry|SO2|Respiratory hospital admissions", US_national_yearly!$D:$AM, 10, FALSE), 1)</f>
        <v>8.6519301415893333E-5</v>
      </c>
      <c r="D12" s="7">
        <f>$B12 * IFERROR(VLOOKUP("industry|SO2|Respiratory hospital admissions", US_national_yearly!$D:$AM, 12, FALSE) / VLOOKUP("industry|SO2|Respiratory hospital admissions", US_national_yearly!$D:$AM, 10, FALSE), 1)</f>
        <v>8.7023187541628952E-5</v>
      </c>
      <c r="E12" s="7">
        <f>$B12 * IFERROR(VLOOKUP("industry|SO2|Respiratory hospital admissions", US_national_yearly!$D:$AM, 13, FALSE) / VLOOKUP("industry|SO2|Respiratory hospital admissions", US_national_yearly!$D:$AM, 10, FALSE), 1)</f>
        <v>8.7527073667364557E-5</v>
      </c>
      <c r="F12" s="7">
        <f>$B12 * IFERROR(VLOOKUP("industry|SO2|Respiratory hospital admissions", US_national_yearly!$D:$AM, 14, FALSE) / VLOOKUP("industry|SO2|Respiratory hospital admissions", US_national_yearly!$D:$AM, 10, FALSE), 1)</f>
        <v>8.803095979310019E-5</v>
      </c>
      <c r="G12" s="7">
        <f>$B12 * IFERROR(VLOOKUP("industry|SO2|Respiratory hospital admissions", US_national_yearly!$D:$AM, 15, FALSE) / VLOOKUP("industry|SO2|Respiratory hospital admissions", US_national_yearly!$D:$AM, 10, FALSE), 1)</f>
        <v>8.858029314298315E-5</v>
      </c>
      <c r="H12" s="7">
        <f>$B12 * IFERROR(VLOOKUP("industry|SO2|Respiratory hospital admissions", US_national_yearly!$D:$AM, 16, FALSE) / VLOOKUP("industry|SO2|Respiratory hospital admissions", US_national_yearly!$D:$AM, 10, FALSE), 1)</f>
        <v>8.9129626492866109E-5</v>
      </c>
      <c r="I12" s="7">
        <f>$B12 * IFERROR(VLOOKUP("industry|SO2|Respiratory hospital admissions", US_national_yearly!$D:$AM, 17, FALSE) / VLOOKUP("industry|SO2|Respiratory hospital admissions", US_national_yearly!$D:$AM, 10, FALSE), 1)</f>
        <v>8.9669161917256687E-5</v>
      </c>
      <c r="J12" s="7">
        <f>$B12 * IFERROR(VLOOKUP("industry|SO2|Respiratory hospital admissions", US_national_yearly!$D:$AM, 18, FALSE) / VLOOKUP("industry|SO2|Respiratory hospital admissions", US_national_yearly!$D:$AM, 10, FALSE), 1)</f>
        <v>9.020869734164725E-5</v>
      </c>
      <c r="K12" s="7">
        <f>$B12 * IFERROR(VLOOKUP("industry|SO2|Respiratory hospital admissions", US_national_yearly!$D:$AM, 19, FALSE) / VLOOKUP("industry|SO2|Respiratory hospital admissions", US_national_yearly!$D:$AM, 10, FALSE), 1)</f>
        <v>9.0748232766037801E-5</v>
      </c>
      <c r="L12" s="7">
        <f>$B12 * IFERROR(VLOOKUP("industry|SO2|Respiratory hospital admissions", US_national_yearly!$D:$AM, 20, FALSE) / VLOOKUP("industry|SO2|Respiratory hospital admissions", US_national_yearly!$D:$AM, 10, FALSE), 1)</f>
        <v>9.1287768190428364E-5</v>
      </c>
      <c r="M12" s="7">
        <f>$B12 * IFERROR(VLOOKUP("industry|SO2|Respiratory hospital admissions", US_national_yearly!$D:$AM, 21, FALSE) / VLOOKUP("industry|SO2|Respiratory hospital admissions", US_national_yearly!$D:$AM, 10, FALSE), 1)</f>
        <v>9.1827303614818942E-5</v>
      </c>
      <c r="N12" s="7">
        <f>$B12 * IFERROR(VLOOKUP("industry|SO2|Respiratory hospital admissions", US_national_yearly!$D:$AM, 22, FALSE) / VLOOKUP("industry|SO2|Respiratory hospital admissions", US_national_yearly!$D:$AM, 10, FALSE), 1)</f>
        <v>9.2217719041939422E-5</v>
      </c>
      <c r="O12" s="7">
        <f>$B12 * IFERROR(VLOOKUP("industry|SO2|Respiratory hospital admissions", US_national_yearly!$D:$AM, 23, FALSE) / VLOOKUP("industry|SO2|Respiratory hospital admissions", US_national_yearly!$D:$AM, 10, FALSE), 1)</f>
        <v>9.2608134469059916E-5</v>
      </c>
      <c r="P12" s="7">
        <f>$B12 * IFERROR(VLOOKUP("industry|SO2|Respiratory hospital admissions", US_national_yearly!$D:$AM, 24, FALSE) / VLOOKUP("industry|SO2|Respiratory hospital admissions", US_national_yearly!$D:$AM, 10, FALSE), 1)</f>
        <v>9.2998549896180396E-5</v>
      </c>
      <c r="Q12" s="7">
        <f>$B12 * IFERROR(VLOOKUP("industry|SO2|Respiratory hospital admissions", US_national_yearly!$D:$AM, 25, FALSE) / VLOOKUP("industry|SO2|Respiratory hospital admissions", US_national_yearly!$D:$AM, 10, FALSE), 1)</f>
        <v>9.3388965323300876E-5</v>
      </c>
      <c r="R12" s="7">
        <f>$B12 * IFERROR(VLOOKUP("industry|SO2|Respiratory hospital admissions", US_national_yearly!$D:$AM, 26, FALSE) / VLOOKUP("industry|SO2|Respiratory hospital admissions", US_national_yearly!$D:$AM, 10, FALSE), 1)</f>
        <v>9.3779380750421356E-5</v>
      </c>
      <c r="S12" s="7">
        <f>$B12 * IFERROR(VLOOKUP("industry|SO2|Respiratory hospital admissions", US_national_yearly!$D:$AM, 27, FALSE) / VLOOKUP("industry|SO2|Respiratory hospital admissions", US_national_yearly!$D:$AM, 10, FALSE), 1)</f>
        <v>9.4150410935963478E-5</v>
      </c>
      <c r="T12" s="7">
        <f>$B12 * IFERROR(VLOOKUP("industry|SO2|Respiratory hospital admissions", US_national_yearly!$D:$AM, 28, FALSE) / VLOOKUP("industry|SO2|Respiratory hospital admissions", US_national_yearly!$D:$AM, 10, FALSE), 1)</f>
        <v>9.4521441121505587E-5</v>
      </c>
      <c r="U12" s="7">
        <f>$B12 * IFERROR(VLOOKUP("industry|SO2|Respiratory hospital admissions", US_national_yearly!$D:$AM, 29, FALSE) / VLOOKUP("industry|SO2|Respiratory hospital admissions", US_national_yearly!$D:$AM, 10, FALSE), 1)</f>
        <v>9.4892471307047709E-5</v>
      </c>
      <c r="V12" s="7">
        <f>$B12 * IFERROR(VLOOKUP("industry|SO2|Respiratory hospital admissions", US_national_yearly!$D:$AM, 30, FALSE) / VLOOKUP("industry|SO2|Respiratory hospital admissions", US_national_yearly!$D:$AM, 10, FALSE), 1)</f>
        <v>9.5263501492589832E-5</v>
      </c>
      <c r="W12" s="7">
        <f>$B12 * IFERROR(VLOOKUP("industry|SO2|Respiratory hospital admissions", US_national_yearly!$D:$AM, 31, FALSE) / VLOOKUP("industry|SO2|Respiratory hospital admissions", US_national_yearly!$D:$AM, 10, FALSE), 1)</f>
        <v>9.563453167813194E-5</v>
      </c>
      <c r="X12" s="7">
        <f>$B12 * IFERROR(VLOOKUP("industry|SO2|Respiratory hospital admissions", US_national_yearly!$D:$AM, 32, FALSE) / VLOOKUP("industry|SO2|Respiratory hospital admissions", US_national_yearly!$D:$AM, 10, FALSE), 1)</f>
        <v>9.5986867515896384E-5</v>
      </c>
      <c r="Y12" s="7">
        <f>$B12 * IFERROR(VLOOKUP("industry|SO2|Respiratory hospital admissions", US_national_yearly!$D:$AM, 33, FALSE) / VLOOKUP("industry|SO2|Respiratory hospital admissions", US_national_yearly!$D:$AM, 10, FALSE), 1)</f>
        <v>9.6339203353660856E-5</v>
      </c>
      <c r="Z12" s="7">
        <f>$B12 * IFERROR(VLOOKUP("industry|SO2|Respiratory hospital admissions", US_national_yearly!$D:$AM, 34, FALSE) / VLOOKUP("industry|SO2|Respiratory hospital admissions", US_national_yearly!$D:$AM, 10, FALSE), 1)</f>
        <v>9.66915391914253E-5</v>
      </c>
      <c r="AA12" s="7">
        <f>$B12 * IFERROR(VLOOKUP("industry|SO2|Respiratory hospital admissions", US_national_yearly!$D:$AM, 35, FALSE) / VLOOKUP("industry|SO2|Respiratory hospital admissions", US_national_yearly!$D:$AM, 10, FALSE), 1)</f>
        <v>9.7043875029189744E-5</v>
      </c>
      <c r="AB12" s="7">
        <f>$B12 * IFERROR(VLOOKUP("industry|SO2|Respiratory hospital admissions", US_national_yearly!$D:$AM, 36, FALSE) / VLOOKUP("industry|SO2|Respiratory hospital admissions", US_national_yearly!$D:$AM, 10, FALSE), 1)</f>
        <v>9.7396210866954202E-5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5.0372333170154359E-4</v>
      </c>
      <c r="C13" s="7">
        <f>$B13 * IFERROR(VLOOKUP("industry|SO2|Non-fatal heart attacks", US_national_yearly!$D:$AM, 11, FALSE) / VLOOKUP("industry|SO2|Non-fatal heart attacks", US_national_yearly!$D:$AM, 10, FALSE), 1)</f>
        <v>5.1851075979027553E-4</v>
      </c>
      <c r="D13" s="7">
        <f>$B13 * IFERROR(VLOOKUP("industry|SO2|Non-fatal heart attacks", US_national_yearly!$D:$AM, 12, FALSE) / VLOOKUP("industry|SO2|Non-fatal heart attacks", US_national_yearly!$D:$AM, 10, FALSE), 1)</f>
        <v>5.3329818787900757E-4</v>
      </c>
      <c r="E13" s="7">
        <f>$B13 * IFERROR(VLOOKUP("industry|SO2|Non-fatal heart attacks", US_national_yearly!$D:$AM, 13, FALSE) / VLOOKUP("industry|SO2|Non-fatal heart attacks", US_national_yearly!$D:$AM, 10, FALSE), 1)</f>
        <v>5.480856159677394E-4</v>
      </c>
      <c r="F13" s="7">
        <f>$B13 * IFERROR(VLOOKUP("industry|SO2|Non-fatal heart attacks", US_national_yearly!$D:$AM, 14, FALSE) / VLOOKUP("industry|SO2|Non-fatal heart attacks", US_national_yearly!$D:$AM, 10, FALSE), 1)</f>
        <v>5.6287304405647145E-4</v>
      </c>
      <c r="G13" s="7">
        <f>$B13 * IFERROR(VLOOKUP("industry|SO2|Non-fatal heart attacks", US_national_yearly!$D:$AM, 15, FALSE) / VLOOKUP("industry|SO2|Non-fatal heart attacks", US_national_yearly!$D:$AM, 10, FALSE), 1)</f>
        <v>5.7682823365019364E-4</v>
      </c>
      <c r="H13" s="7">
        <f>$B13 * IFERROR(VLOOKUP("industry|SO2|Non-fatal heart attacks", US_national_yearly!$D:$AM, 16, FALSE) / VLOOKUP("industry|SO2|Non-fatal heart attacks", US_national_yearly!$D:$AM, 10, FALSE), 1)</f>
        <v>5.9078342324391582E-4</v>
      </c>
      <c r="I13" s="7">
        <f>$B13 * IFERROR(VLOOKUP("industry|SO2|Non-fatal heart attacks", US_national_yearly!$D:$AM, 17, FALSE) / VLOOKUP("industry|SO2|Non-fatal heart attacks", US_national_yearly!$D:$AM, 10, FALSE), 1)</f>
        <v>6.020337216167005E-4</v>
      </c>
      <c r="J13" s="7">
        <f>$B13 * IFERROR(VLOOKUP("industry|SO2|Non-fatal heart attacks", US_national_yearly!$D:$AM, 18, FALSE) / VLOOKUP("industry|SO2|Non-fatal heart attacks", US_national_yearly!$D:$AM, 10, FALSE), 1)</f>
        <v>6.1328401998948551E-4</v>
      </c>
      <c r="K13" s="7">
        <f>$B13 * IFERROR(VLOOKUP("industry|SO2|Non-fatal heart attacks", US_national_yearly!$D:$AM, 19, FALSE) / VLOOKUP("industry|SO2|Non-fatal heart attacks", US_national_yearly!$D:$AM, 10, FALSE), 1)</f>
        <v>6.245343183622703E-4</v>
      </c>
      <c r="L13" s="7">
        <f>$B13 * IFERROR(VLOOKUP("industry|SO2|Non-fatal heart attacks", US_national_yearly!$D:$AM, 20, FALSE) / VLOOKUP("industry|SO2|Non-fatal heart attacks", US_national_yearly!$D:$AM, 10, FALSE), 1)</f>
        <v>6.3578461673505508E-4</v>
      </c>
      <c r="M13" s="7">
        <f>$B13 * IFERROR(VLOOKUP("industry|SO2|Non-fatal heart attacks", US_national_yearly!$D:$AM, 21, FALSE) / VLOOKUP("industry|SO2|Non-fatal heart attacks", US_national_yearly!$D:$AM, 10, FALSE), 1)</f>
        <v>6.4703491510783987E-4</v>
      </c>
      <c r="N13" s="7">
        <f>$B13 * IFERROR(VLOOKUP("industry|SO2|Non-fatal heart attacks", US_national_yearly!$D:$AM, 22, FALSE) / VLOOKUP("industry|SO2|Non-fatal heart attacks", US_national_yearly!$D:$AM, 10, FALSE), 1)</f>
        <v>6.5434370830079155E-4</v>
      </c>
      <c r="O13" s="7">
        <f>$B13 * IFERROR(VLOOKUP("industry|SO2|Non-fatal heart attacks", US_national_yearly!$D:$AM, 23, FALSE) / VLOOKUP("industry|SO2|Non-fatal heart attacks", US_national_yearly!$D:$AM, 10, FALSE), 1)</f>
        <v>6.6165250149374344E-4</v>
      </c>
      <c r="P13" s="7">
        <f>$B13 * IFERROR(VLOOKUP("industry|SO2|Non-fatal heart attacks", US_national_yearly!$D:$AM, 24, FALSE) / VLOOKUP("industry|SO2|Non-fatal heart attacks", US_national_yearly!$D:$AM, 10, FALSE), 1)</f>
        <v>6.6896129468669511E-4</v>
      </c>
      <c r="Q13" s="7">
        <f>$B13 * IFERROR(VLOOKUP("industry|SO2|Non-fatal heart attacks", US_national_yearly!$D:$AM, 25, FALSE) / VLOOKUP("industry|SO2|Non-fatal heart attacks", US_national_yearly!$D:$AM, 10, FALSE), 1)</f>
        <v>6.7627008787964668E-4</v>
      </c>
      <c r="R13" s="7">
        <f>$B13 * IFERROR(VLOOKUP("industry|SO2|Non-fatal heart attacks", US_national_yearly!$D:$AM, 26, FALSE) / VLOOKUP("industry|SO2|Non-fatal heart attacks", US_national_yearly!$D:$AM, 10, FALSE), 1)</f>
        <v>6.8357888107259846E-4</v>
      </c>
      <c r="S13" s="7">
        <f>$B13 * IFERROR(VLOOKUP("industry|SO2|Non-fatal heart attacks", US_national_yearly!$D:$AM, 27, FALSE) / VLOOKUP("industry|SO2|Non-fatal heart attacks", US_national_yearly!$D:$AM, 10, FALSE), 1)</f>
        <v>6.8741756671848514E-4</v>
      </c>
      <c r="T13" s="7">
        <f>$B13 * IFERROR(VLOOKUP("industry|SO2|Non-fatal heart attacks", US_national_yearly!$D:$AM, 28, FALSE) / VLOOKUP("industry|SO2|Non-fatal heart attacks", US_national_yearly!$D:$AM, 10, FALSE), 1)</f>
        <v>6.9125625236437171E-4</v>
      </c>
      <c r="U13" s="7">
        <f>$B13 * IFERROR(VLOOKUP("industry|SO2|Non-fatal heart attacks", US_national_yearly!$D:$AM, 29, FALSE) / VLOOKUP("industry|SO2|Non-fatal heart attacks", US_national_yearly!$D:$AM, 10, FALSE), 1)</f>
        <v>6.9509493801025838E-4</v>
      </c>
      <c r="V13" s="7">
        <f>$B13 * IFERROR(VLOOKUP("industry|SO2|Non-fatal heart attacks", US_national_yearly!$D:$AM, 30, FALSE) / VLOOKUP("industry|SO2|Non-fatal heart attacks", US_national_yearly!$D:$AM, 10, FALSE), 1)</f>
        <v>6.9893362365614506E-4</v>
      </c>
      <c r="W13" s="7">
        <f>$B13 * IFERROR(VLOOKUP("industry|SO2|Non-fatal heart attacks", US_national_yearly!$D:$AM, 31, FALSE) / VLOOKUP("industry|SO2|Non-fatal heart attacks", US_national_yearly!$D:$AM, 10, FALSE), 1)</f>
        <v>7.0277230930203163E-4</v>
      </c>
      <c r="X13" s="7">
        <f>$B13 * IFERROR(VLOOKUP("industry|SO2|Non-fatal heart attacks", US_national_yearly!$D:$AM, 32, FALSE) / VLOOKUP("industry|SO2|Non-fatal heart attacks", US_national_yearly!$D:$AM, 10, FALSE), 1)</f>
        <v>7.0568768027675451E-4</v>
      </c>
      <c r="Y13" s="7">
        <f>$B13 * IFERROR(VLOOKUP("industry|SO2|Non-fatal heart attacks", US_national_yearly!$D:$AM, 33, FALSE) / VLOOKUP("industry|SO2|Non-fatal heart attacks", US_national_yearly!$D:$AM, 10, FALSE), 1)</f>
        <v>7.0860305125147738E-4</v>
      </c>
      <c r="Z13" s="7">
        <f>$B13 * IFERROR(VLOOKUP("industry|SO2|Non-fatal heart attacks", US_national_yearly!$D:$AM, 34, FALSE) / VLOOKUP("industry|SO2|Non-fatal heart attacks", US_national_yearly!$D:$AM, 10, FALSE), 1)</f>
        <v>7.1151842222620036E-4</v>
      </c>
      <c r="AA13" s="7">
        <f>$B13 * IFERROR(VLOOKUP("industry|SO2|Non-fatal heart attacks", US_national_yearly!$D:$AM, 35, FALSE) / VLOOKUP("industry|SO2|Non-fatal heart attacks", US_national_yearly!$D:$AM, 10, FALSE), 1)</f>
        <v>7.1443379320092334E-4</v>
      </c>
      <c r="AB13" s="7">
        <f>$B13 * IFERROR(VLOOKUP("industry|SO2|Non-fatal heart attacks", US_national_yearly!$D:$AM, 36, FALSE) / VLOOKUP("industry|SO2|Non-fatal heart attacks", US_national_yearly!$D:$AM, 10, FALSE), 1)</f>
        <v>7.1734916417564621E-4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0.42684463900806741</v>
      </c>
      <c r="C14" s="7">
        <f>$B14 * IFERROR(VLOOKUP("industry|SO2|Minor restricted activity days", US_national_yearly!$D:$AM, 11, FALSE) / VLOOKUP("industry|SO2|Minor restricted activity days", US_national_yearly!$D:$AM, 10, FALSE), 1)</f>
        <v>0.42791234351232932</v>
      </c>
      <c r="D14" s="7">
        <f>$B14 * IFERROR(VLOOKUP("industry|SO2|Minor restricted activity days", US_national_yearly!$D:$AM, 12, FALSE) / VLOOKUP("industry|SO2|Minor restricted activity days", US_national_yearly!$D:$AM, 10, FALSE), 1)</f>
        <v>0.42898004801659112</v>
      </c>
      <c r="E14" s="7">
        <f>$B14 * IFERROR(VLOOKUP("industry|SO2|Minor restricted activity days", US_national_yearly!$D:$AM, 13, FALSE) / VLOOKUP("industry|SO2|Minor restricted activity days", US_national_yearly!$D:$AM, 10, FALSE), 1)</f>
        <v>0.43004775252085303</v>
      </c>
      <c r="F14" s="7">
        <f>$B14 * IFERROR(VLOOKUP("industry|SO2|Minor restricted activity days", US_national_yearly!$D:$AM, 14, FALSE) / VLOOKUP("industry|SO2|Minor restricted activity days", US_national_yearly!$D:$AM, 10, FALSE), 1)</f>
        <v>0.43111545702511495</v>
      </c>
      <c r="G14" s="7">
        <f>$B14 * IFERROR(VLOOKUP("industry|SO2|Minor restricted activity days", US_national_yearly!$D:$AM, 15, FALSE) / VLOOKUP("industry|SO2|Minor restricted activity days", US_national_yearly!$D:$AM, 10, FALSE), 1)</f>
        <v>0.4326861520895493</v>
      </c>
      <c r="H14" s="7">
        <f>$B14 * IFERROR(VLOOKUP("industry|SO2|Minor restricted activity days", US_national_yearly!$D:$AM, 16, FALSE) / VLOOKUP("industry|SO2|Minor restricted activity days", US_national_yearly!$D:$AM, 10, FALSE), 1)</f>
        <v>0.43425684715398355</v>
      </c>
      <c r="I14" s="7">
        <f>$B14 * IFERROR(VLOOKUP("industry|SO2|Minor restricted activity days", US_national_yearly!$D:$AM, 17, FALSE) / VLOOKUP("industry|SO2|Minor restricted activity days", US_national_yearly!$D:$AM, 10, FALSE), 1)</f>
        <v>0.43693535733827965</v>
      </c>
      <c r="J14" s="7">
        <f>$B14 * IFERROR(VLOOKUP("industry|SO2|Minor restricted activity days", US_national_yearly!$D:$AM, 18, FALSE) / VLOOKUP("industry|SO2|Minor restricted activity days", US_national_yearly!$D:$AM, 10, FALSE), 1)</f>
        <v>0.43961386752257575</v>
      </c>
      <c r="K14" s="7">
        <f>$B14 * IFERROR(VLOOKUP("industry|SO2|Minor restricted activity days", US_national_yearly!$D:$AM, 19, FALSE) / VLOOKUP("industry|SO2|Minor restricted activity days", US_national_yearly!$D:$AM, 10, FALSE), 1)</f>
        <v>0.44229237770687185</v>
      </c>
      <c r="L14" s="7">
        <f>$B14 * IFERROR(VLOOKUP("industry|SO2|Minor restricted activity days", US_national_yearly!$D:$AM, 20, FALSE) / VLOOKUP("industry|SO2|Minor restricted activity days", US_national_yearly!$D:$AM, 10, FALSE), 1)</f>
        <v>0.44497088789116801</v>
      </c>
      <c r="M14" s="7">
        <f>$B14 * IFERROR(VLOOKUP("industry|SO2|Minor restricted activity days", US_national_yearly!$D:$AM, 21, FALSE) / VLOOKUP("industry|SO2|Minor restricted activity days", US_national_yearly!$D:$AM, 10, FALSE), 1)</f>
        <v>0.44764939807546411</v>
      </c>
      <c r="N14" s="7">
        <f>$B14 * IFERROR(VLOOKUP("industry|SO2|Minor restricted activity days", US_national_yearly!$D:$AM, 22, FALSE) / VLOOKUP("industry|SO2|Minor restricted activity days", US_national_yearly!$D:$AM, 10, FALSE), 1)</f>
        <v>0.45132195767510314</v>
      </c>
      <c r="O14" s="7">
        <f>$B14 * IFERROR(VLOOKUP("industry|SO2|Minor restricted activity days", US_national_yearly!$D:$AM, 23, FALSE) / VLOOKUP("industry|SO2|Minor restricted activity days", US_national_yearly!$D:$AM, 10, FALSE), 1)</f>
        <v>0.45499451727474222</v>
      </c>
      <c r="P14" s="7">
        <f>$B14 * IFERROR(VLOOKUP("industry|SO2|Minor restricted activity days", US_national_yearly!$D:$AM, 24, FALSE) / VLOOKUP("industry|SO2|Minor restricted activity days", US_national_yearly!$D:$AM, 10, FALSE), 1)</f>
        <v>0.4586670768743813</v>
      </c>
      <c r="Q14" s="7">
        <f>$B14 * IFERROR(VLOOKUP("industry|SO2|Minor restricted activity days", US_national_yearly!$D:$AM, 25, FALSE) / VLOOKUP("industry|SO2|Minor restricted activity days", US_national_yearly!$D:$AM, 10, FALSE), 1)</f>
        <v>0.46233963647402043</v>
      </c>
      <c r="R14" s="7">
        <f>$B14 * IFERROR(VLOOKUP("industry|SO2|Minor restricted activity days", US_national_yearly!$D:$AM, 26, FALSE) / VLOOKUP("industry|SO2|Minor restricted activity days", US_national_yearly!$D:$AM, 10, FALSE), 1)</f>
        <v>0.46601219607365951</v>
      </c>
      <c r="S14" s="7">
        <f>$B14 * IFERROR(VLOOKUP("industry|SO2|Minor restricted activity days", US_national_yearly!$D:$AM, 27, FALSE) / VLOOKUP("industry|SO2|Minor restricted activity days", US_national_yearly!$D:$AM, 10, FALSE), 1)</f>
        <v>0.46976033974829101</v>
      </c>
      <c r="T14" s="7">
        <f>$B14 * IFERROR(VLOOKUP("industry|SO2|Minor restricted activity days", US_national_yearly!$D:$AM, 28, FALSE) / VLOOKUP("industry|SO2|Minor restricted activity days", US_national_yearly!$D:$AM, 10, FALSE), 1)</f>
        <v>0.47350848342292257</v>
      </c>
      <c r="U14" s="7">
        <f>$B14 * IFERROR(VLOOKUP("industry|SO2|Minor restricted activity days", US_national_yearly!$D:$AM, 29, FALSE) / VLOOKUP("industry|SO2|Minor restricted activity days", US_national_yearly!$D:$AM, 10, FALSE), 1)</f>
        <v>0.47725662709755406</v>
      </c>
      <c r="V14" s="7">
        <f>$B14 * IFERROR(VLOOKUP("industry|SO2|Minor restricted activity days", US_national_yearly!$D:$AM, 30, FALSE) / VLOOKUP("industry|SO2|Minor restricted activity days", US_national_yearly!$D:$AM, 10, FALSE), 1)</f>
        <v>0.48100477077218567</v>
      </c>
      <c r="W14" s="7">
        <f>$B14 * IFERROR(VLOOKUP("industry|SO2|Minor restricted activity days", US_national_yearly!$D:$AM, 31, FALSE) / VLOOKUP("industry|SO2|Minor restricted activity days", US_national_yearly!$D:$AM, 10, FALSE), 1)</f>
        <v>0.48475291444681717</v>
      </c>
      <c r="X14" s="7">
        <f>$B14 * IFERROR(VLOOKUP("industry|SO2|Minor restricted activity days", US_national_yearly!$D:$AM, 32, FALSE) / VLOOKUP("industry|SO2|Minor restricted activity days", US_national_yearly!$D:$AM, 10, FALSE), 1)</f>
        <v>0.48804862759742335</v>
      </c>
      <c r="Y14" s="7">
        <f>$B14 * IFERROR(VLOOKUP("industry|SO2|Minor restricted activity days", US_national_yearly!$D:$AM, 33, FALSE) / VLOOKUP("industry|SO2|Minor restricted activity days", US_national_yearly!$D:$AM, 10, FALSE), 1)</f>
        <v>0.49134434074802941</v>
      </c>
      <c r="Z14" s="7">
        <f>$B14 * IFERROR(VLOOKUP("industry|SO2|Minor restricted activity days", US_national_yearly!$D:$AM, 34, FALSE) / VLOOKUP("industry|SO2|Minor restricted activity days", US_national_yearly!$D:$AM, 10, FALSE), 1)</f>
        <v>0.49464005389863547</v>
      </c>
      <c r="AA14" s="7">
        <f>$B14 * IFERROR(VLOOKUP("industry|SO2|Minor restricted activity days", US_national_yearly!$D:$AM, 35, FALSE) / VLOOKUP("industry|SO2|Minor restricted activity days", US_national_yearly!$D:$AM, 10, FALSE), 1)</f>
        <v>0.49793576704924153</v>
      </c>
      <c r="AB14" s="7">
        <f>$B14 * IFERROR(VLOOKUP("industry|SO2|Minor restricted activity days", US_national_yearly!$D:$AM, 36, FALSE) / VLOOKUP("industry|SO2|Minor restricted activity days", US_national_yearly!$D:$AM, 10, FALSE), 1)</f>
        <v>0.50123148019984765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7.2381087242860465E-2</v>
      </c>
      <c r="C15" s="7">
        <f>$B15 * IFERROR(VLOOKUP("industry|SO2|Work loss days", US_national_yearly!$D:$AM, 11, FALSE) / VLOOKUP("industry|SO2|Work loss days", US_national_yearly!$D:$AM, 10, FALSE), 1)</f>
        <v>7.2613856642044769E-2</v>
      </c>
      <c r="D15" s="7">
        <f>$B15 * IFERROR(VLOOKUP("industry|SO2|Work loss days", US_national_yearly!$D:$AM, 12, FALSE) / VLOOKUP("industry|SO2|Work loss days", US_national_yearly!$D:$AM, 10, FALSE), 1)</f>
        <v>7.2846626041229115E-2</v>
      </c>
      <c r="E15" s="7">
        <f>$B15 * IFERROR(VLOOKUP("industry|SO2|Work loss days", US_national_yearly!$D:$AM, 13, FALSE) / VLOOKUP("industry|SO2|Work loss days", US_national_yearly!$D:$AM, 10, FALSE), 1)</f>
        <v>7.3079395440413419E-2</v>
      </c>
      <c r="F15" s="7">
        <f>$B15 * IFERROR(VLOOKUP("industry|SO2|Work loss days", US_national_yearly!$D:$AM, 14, FALSE) / VLOOKUP("industry|SO2|Work loss days", US_national_yearly!$D:$AM, 10, FALSE), 1)</f>
        <v>7.3312164839597765E-2</v>
      </c>
      <c r="G15" s="7">
        <f>$B15 * IFERROR(VLOOKUP("industry|SO2|Work loss days", US_national_yearly!$D:$AM, 15, FALSE) / VLOOKUP("industry|SO2|Work loss days", US_national_yearly!$D:$AM, 10, FALSE), 1)</f>
        <v>7.361599180871882E-2</v>
      </c>
      <c r="H15" s="7">
        <f>$B15 * IFERROR(VLOOKUP("industry|SO2|Work loss days", US_national_yearly!$D:$AM, 16, FALSE) / VLOOKUP("industry|SO2|Work loss days", US_national_yearly!$D:$AM, 10, FALSE), 1)</f>
        <v>7.3919818777839874E-2</v>
      </c>
      <c r="I15" s="7">
        <f>$B15 * IFERROR(VLOOKUP("industry|SO2|Work loss days", US_national_yearly!$D:$AM, 17, FALSE) / VLOOKUP("industry|SO2|Work loss days", US_national_yearly!$D:$AM, 10, FALSE), 1)</f>
        <v>7.4363928192548306E-2</v>
      </c>
      <c r="J15" s="7">
        <f>$B15 * IFERROR(VLOOKUP("industry|SO2|Work loss days", US_national_yearly!$D:$AM, 18, FALSE) / VLOOKUP("industry|SO2|Work loss days", US_national_yearly!$D:$AM, 10, FALSE), 1)</f>
        <v>7.4808037607256711E-2</v>
      </c>
      <c r="K15" s="7">
        <f>$B15 * IFERROR(VLOOKUP("industry|SO2|Work loss days", US_national_yearly!$D:$AM, 19, FALSE) / VLOOKUP("industry|SO2|Work loss days", US_national_yearly!$D:$AM, 10, FALSE), 1)</f>
        <v>7.525214702196513E-2</v>
      </c>
      <c r="L15" s="7">
        <f>$B15 * IFERROR(VLOOKUP("industry|SO2|Work loss days", US_national_yearly!$D:$AM, 20, FALSE) / VLOOKUP("industry|SO2|Work loss days", US_national_yearly!$D:$AM, 10, FALSE), 1)</f>
        <v>7.5696256436673548E-2</v>
      </c>
      <c r="M15" s="7">
        <f>$B15 * IFERROR(VLOOKUP("industry|SO2|Work loss days", US_national_yearly!$D:$AM, 21, FALSE) / VLOOKUP("industry|SO2|Work loss days", US_national_yearly!$D:$AM, 10, FALSE), 1)</f>
        <v>7.6140365851381966E-2</v>
      </c>
      <c r="N15" s="7">
        <f>$B15 * IFERROR(VLOOKUP("industry|SO2|Work loss days", US_national_yearly!$D:$AM, 22, FALSE) / VLOOKUP("industry|SO2|Work loss days", US_national_yearly!$D:$AM, 10, FALSE), 1)</f>
        <v>7.6698546004178803E-2</v>
      </c>
      <c r="O15" s="7">
        <f>$B15 * IFERROR(VLOOKUP("industry|SO2|Work loss days", US_national_yearly!$D:$AM, 23, FALSE) / VLOOKUP("industry|SO2|Work loss days", US_national_yearly!$D:$AM, 10, FALSE), 1)</f>
        <v>7.7256726156975625E-2</v>
      </c>
      <c r="P15" s="7">
        <f>$B15 * IFERROR(VLOOKUP("industry|SO2|Work loss days", US_national_yearly!$D:$AM, 24, FALSE) / VLOOKUP("industry|SO2|Work loss days", US_national_yearly!$D:$AM, 10, FALSE), 1)</f>
        <v>7.7814906309772461E-2</v>
      </c>
      <c r="Q15" s="7">
        <f>$B15 * IFERROR(VLOOKUP("industry|SO2|Work loss days", US_national_yearly!$D:$AM, 25, FALSE) / VLOOKUP("industry|SO2|Work loss days", US_national_yearly!$D:$AM, 10, FALSE), 1)</f>
        <v>7.8373086462569283E-2</v>
      </c>
      <c r="R15" s="7">
        <f>$B15 * IFERROR(VLOOKUP("industry|SO2|Work loss days", US_national_yearly!$D:$AM, 26, FALSE) / VLOOKUP("industry|SO2|Work loss days", US_national_yearly!$D:$AM, 10, FALSE), 1)</f>
        <v>7.8931266615366119E-2</v>
      </c>
      <c r="S15" s="7">
        <f>$B15 * IFERROR(VLOOKUP("industry|SO2|Work loss days", US_national_yearly!$D:$AM, 27, FALSE) / VLOOKUP("industry|SO2|Work loss days", US_national_yearly!$D:$AM, 10, FALSE), 1)</f>
        <v>7.9555847202279498E-2</v>
      </c>
      <c r="T15" s="7">
        <f>$B15 * IFERROR(VLOOKUP("industry|SO2|Work loss days", US_national_yearly!$D:$AM, 28, FALSE) / VLOOKUP("industry|SO2|Work loss days", US_national_yearly!$D:$AM, 10, FALSE), 1)</f>
        <v>8.0180427789192904E-2</v>
      </c>
      <c r="U15" s="7">
        <f>$B15 * IFERROR(VLOOKUP("industry|SO2|Work loss days", US_national_yearly!$D:$AM, 29, FALSE) / VLOOKUP("industry|SO2|Work loss days", US_national_yearly!$D:$AM, 10, FALSE), 1)</f>
        <v>8.080500837610631E-2</v>
      </c>
      <c r="V15" s="7">
        <f>$B15 * IFERROR(VLOOKUP("industry|SO2|Work loss days", US_national_yearly!$D:$AM, 30, FALSE) / VLOOKUP("industry|SO2|Work loss days", US_national_yearly!$D:$AM, 10, FALSE), 1)</f>
        <v>8.1429588963019703E-2</v>
      </c>
      <c r="W15" s="7">
        <f>$B15 * IFERROR(VLOOKUP("industry|SO2|Work loss days", US_national_yearly!$D:$AM, 31, FALSE) / VLOOKUP("industry|SO2|Work loss days", US_national_yearly!$D:$AM, 10, FALSE), 1)</f>
        <v>8.2054169549933095E-2</v>
      </c>
      <c r="X15" s="7">
        <f>$B15 * IFERROR(VLOOKUP("industry|SO2|Work loss days", US_national_yearly!$D:$AM, 32, FALSE) / VLOOKUP("industry|SO2|Work loss days", US_national_yearly!$D:$AM, 10, FALSE), 1)</f>
        <v>8.2615150903001783E-2</v>
      </c>
      <c r="Y15" s="7">
        <f>$B15 * IFERROR(VLOOKUP("industry|SO2|Work loss days", US_national_yearly!$D:$AM, 33, FALSE) / VLOOKUP("industry|SO2|Work loss days", US_national_yearly!$D:$AM, 10, FALSE), 1)</f>
        <v>8.3176132256070498E-2</v>
      </c>
      <c r="Z15" s="7">
        <f>$B15 * IFERROR(VLOOKUP("industry|SO2|Work loss days", US_national_yearly!$D:$AM, 34, FALSE) / VLOOKUP("industry|SO2|Work loss days", US_national_yearly!$D:$AM, 10, FALSE), 1)</f>
        <v>8.3737113609139172E-2</v>
      </c>
      <c r="AA15" s="7">
        <f>$B15 * IFERROR(VLOOKUP("industry|SO2|Work loss days", US_national_yearly!$D:$AM, 35, FALSE) / VLOOKUP("industry|SO2|Work loss days", US_national_yearly!$D:$AM, 10, FALSE), 1)</f>
        <v>8.4298094962207873E-2</v>
      </c>
      <c r="AB15" s="7">
        <f>$B15 * IFERROR(VLOOKUP("industry|SO2|Work loss days", US_national_yearly!$D:$AM, 36, FALSE) / VLOOKUP("industry|SO2|Work loss days", US_national_yearly!$D:$AM, 10, FALSE), 1)</f>
        <v>8.4859076315276574E-2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1.195098016953272E-4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1.2312344305472235E-4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1.2673708441411754E-4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1.3035072577351274E-4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1.339643671329079E-4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1.3742753896274772E-4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1.4089071079258754E-4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1.4386223349084601E-4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1.4683375618910452E-4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1.4980527888736305E-4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1.5277680158562156E-4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1.5574832428388004E-4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1.5774475430927384E-4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1.5974118433466765E-4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1.6173761436006143E-4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1.6373404438545523E-4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1.6573047441084904E-4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1.6678610920986184E-4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1.6784174400887473E-4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1.6889737880788756E-4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1.6995301360690041E-4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1.7100864840591324E-4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1.717225374182236E-4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1.7243642643053396E-4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1.7315031544284435E-4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1.7386420445515474E-4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1.745780934674651E-4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5.1488380735345695E-5</v>
      </c>
      <c r="C2" s="7">
        <f>$B2 * IFERROR(VLOOKUP("LULUCF|PM25|Premature mortality", US_national_yearly!$D:$AM, 11, FALSE) / VLOOKUP("LULUCF|PM25|Premature mortality", US_national_yearly!$D:$AM, 10, FALSE), 1)</f>
        <v>5.2126723820391545E-5</v>
      </c>
      <c r="D2" s="7">
        <f>$B2 * IFERROR(VLOOKUP("LULUCF|PM25|Premature mortality", US_national_yearly!$D:$AM, 12, FALSE) / VLOOKUP("LULUCF|PM25|Premature mortality", US_national_yearly!$D:$AM, 10, FALSE), 1)</f>
        <v>5.2765066905437374E-5</v>
      </c>
      <c r="E2" s="7">
        <f>$B2 * IFERROR(VLOOKUP("LULUCF|PM25|Premature mortality", US_national_yearly!$D:$AM, 13, FALSE) / VLOOKUP("LULUCF|PM25|Premature mortality", US_national_yearly!$D:$AM, 10, FALSE), 1)</f>
        <v>5.340340999048321E-5</v>
      </c>
      <c r="F2" s="7">
        <f>$B2 * IFERROR(VLOOKUP("LULUCF|PM25|Premature mortality", US_national_yearly!$D:$AM, 14, FALSE) / VLOOKUP("LULUCF|PM25|Premature mortality", US_national_yearly!$D:$AM, 10, FALSE), 1)</f>
        <v>5.4041753075529047E-5</v>
      </c>
      <c r="G2" s="7">
        <f>$B2 * IFERROR(VLOOKUP("LULUCF|PM25|Premature mortality", US_national_yearly!$D:$AM, 15, FALSE) / VLOOKUP("LULUCF|PM25|Premature mortality", US_national_yearly!$D:$AM, 10, FALSE), 1)</f>
        <v>5.5284921419386233E-5</v>
      </c>
      <c r="H2" s="7">
        <f>$B2 * IFERROR(VLOOKUP("LULUCF|PM25|Premature mortality", US_national_yearly!$D:$AM, 16, FALSE) / VLOOKUP("LULUCF|PM25|Premature mortality", US_national_yearly!$D:$AM, 10, FALSE), 1)</f>
        <v>5.652808976324342E-5</v>
      </c>
      <c r="I2" s="7">
        <f>$B2 * IFERROR(VLOOKUP("LULUCF|PM25|Premature mortality", US_national_yearly!$D:$AM, 17, FALSE) / VLOOKUP("LULUCF|PM25|Premature mortality", US_national_yearly!$D:$AM, 10, FALSE), 1)</f>
        <v>5.7344655062828618E-5</v>
      </c>
      <c r="J2" s="7">
        <f>$B2 * IFERROR(VLOOKUP("LULUCF|PM25|Premature mortality", US_national_yearly!$D:$AM, 18, FALSE) / VLOOKUP("LULUCF|PM25|Premature mortality", US_national_yearly!$D:$AM, 10, FALSE), 1)</f>
        <v>5.8161220362413837E-5</v>
      </c>
      <c r="K2" s="7">
        <f>$B2 * IFERROR(VLOOKUP("LULUCF|PM25|Premature mortality", US_national_yearly!$D:$AM, 19, FALSE) / VLOOKUP("LULUCF|PM25|Premature mortality", US_national_yearly!$D:$AM, 10, FALSE), 1)</f>
        <v>5.8977785661999049E-5</v>
      </c>
      <c r="L2" s="7">
        <f>$B2 * IFERROR(VLOOKUP("LULUCF|PM25|Premature mortality", US_national_yearly!$D:$AM, 20, FALSE) / VLOOKUP("LULUCF|PM25|Premature mortality", US_national_yearly!$D:$AM, 10, FALSE), 1)</f>
        <v>5.9794350961584268E-5</v>
      </c>
      <c r="M2" s="7">
        <f>$B2 * IFERROR(VLOOKUP("LULUCF|PM25|Premature mortality", US_national_yearly!$D:$AM, 21, FALSE) / VLOOKUP("LULUCF|PM25|Premature mortality", US_national_yearly!$D:$AM, 10, FALSE), 1)</f>
        <v>6.061091626116948E-5</v>
      </c>
      <c r="N2" s="7">
        <f>$B2 * IFERROR(VLOOKUP("LULUCF|PM25|Premature mortality", US_national_yearly!$D:$AM, 22, FALSE) / VLOOKUP("LULUCF|PM25|Premature mortality", US_national_yearly!$D:$AM, 10, FALSE), 1)</f>
        <v>6.1244927246783287E-5</v>
      </c>
      <c r="O2" s="7">
        <f>$B2 * IFERROR(VLOOKUP("LULUCF|PM25|Premature mortality", US_national_yearly!$D:$AM, 23, FALSE) / VLOOKUP("LULUCF|PM25|Premature mortality", US_national_yearly!$D:$AM, 10, FALSE), 1)</f>
        <v>6.1878938232397094E-5</v>
      </c>
      <c r="P2" s="7">
        <f>$B2 * IFERROR(VLOOKUP("LULUCF|PM25|Premature mortality", US_national_yearly!$D:$AM, 24, FALSE) / VLOOKUP("LULUCF|PM25|Premature mortality", US_national_yearly!$D:$AM, 10, FALSE), 1)</f>
        <v>6.2512949218010902E-5</v>
      </c>
      <c r="Q2" s="7">
        <f>$B2 * IFERROR(VLOOKUP("LULUCF|PM25|Premature mortality", US_national_yearly!$D:$AM, 25, FALSE) / VLOOKUP("LULUCF|PM25|Premature mortality", US_national_yearly!$D:$AM, 10, FALSE), 1)</f>
        <v>6.3146960203624709E-5</v>
      </c>
      <c r="R2" s="7">
        <f>$B2 * IFERROR(VLOOKUP("LULUCF|PM25|Premature mortality", US_national_yearly!$D:$AM, 26, FALSE) / VLOOKUP("LULUCF|PM25|Premature mortality", US_national_yearly!$D:$AM, 10, FALSE), 1)</f>
        <v>6.378097118923853E-5</v>
      </c>
      <c r="S2" s="7">
        <f>$B2 * IFERROR(VLOOKUP("LULUCF|PM25|Premature mortality", US_national_yearly!$D:$AM, 27, FALSE) / VLOOKUP("LULUCF|PM25|Premature mortality", US_national_yearly!$D:$AM, 10, FALSE), 1)</f>
        <v>6.4116851372322502E-5</v>
      </c>
      <c r="T2" s="7">
        <f>$B2 * IFERROR(VLOOKUP("LULUCF|PM25|Premature mortality", US_national_yearly!$D:$AM, 28, FALSE) / VLOOKUP("LULUCF|PM25|Premature mortality", US_national_yearly!$D:$AM, 10, FALSE), 1)</f>
        <v>6.4452731555406448E-5</v>
      </c>
      <c r="U2" s="7">
        <f>$B2 * IFERROR(VLOOKUP("LULUCF|PM25|Premature mortality", US_national_yearly!$D:$AM, 29, FALSE) / VLOOKUP("LULUCF|PM25|Premature mortality", US_national_yearly!$D:$AM, 10, FALSE), 1)</f>
        <v>6.4788611738490393E-5</v>
      </c>
      <c r="V2" s="7">
        <f>$B2 * IFERROR(VLOOKUP("LULUCF|PM25|Premature mortality", US_national_yearly!$D:$AM, 30, FALSE) / VLOOKUP("LULUCF|PM25|Premature mortality", US_national_yearly!$D:$AM, 10, FALSE), 1)</f>
        <v>6.5124491921574352E-5</v>
      </c>
      <c r="W2" s="7">
        <f>$B2 * IFERROR(VLOOKUP("LULUCF|PM25|Premature mortality", US_national_yearly!$D:$AM, 31, FALSE) / VLOOKUP("LULUCF|PM25|Premature mortality", US_national_yearly!$D:$AM, 10, FALSE), 1)</f>
        <v>6.5460372104658298E-5</v>
      </c>
      <c r="X2" s="7">
        <f>$B2 * IFERROR(VLOOKUP("LULUCF|PM25|Premature mortality", US_national_yearly!$D:$AM, 32, FALSE) / VLOOKUP("LULUCF|PM25|Premature mortality", US_national_yearly!$D:$AM, 10, FALSE), 1)</f>
        <v>6.551910335288374E-5</v>
      </c>
      <c r="Y2" s="7">
        <f>$B2 * IFERROR(VLOOKUP("LULUCF|PM25|Premature mortality", US_national_yearly!$D:$AM, 33, FALSE) / VLOOKUP("LULUCF|PM25|Premature mortality", US_national_yearly!$D:$AM, 10, FALSE), 1)</f>
        <v>6.5577834601109183E-5</v>
      </c>
      <c r="Z2" s="7">
        <f>$B2 * IFERROR(VLOOKUP("LULUCF|PM25|Premature mortality", US_national_yearly!$D:$AM, 34, FALSE) / VLOOKUP("LULUCF|PM25|Premature mortality", US_national_yearly!$D:$AM, 10, FALSE), 1)</f>
        <v>6.5636565849334612E-5</v>
      </c>
      <c r="AA2" s="7">
        <f>$B2 * IFERROR(VLOOKUP("LULUCF|PM25|Premature mortality", US_national_yearly!$D:$AM, 35, FALSE) / VLOOKUP("LULUCF|PM25|Premature mortality", US_national_yearly!$D:$AM, 10, FALSE), 1)</f>
        <v>6.5695297097560068E-5</v>
      </c>
      <c r="AB2" s="7">
        <f>$B2 * IFERROR(VLOOKUP("LULUCF|PM25|Premature mortality", US_national_yearly!$D:$AM, 36, FALSE) / VLOOKUP("LULUCF|PM25|Premature mortality", US_national_yearly!$D:$AM, 10, FALSE), 1)</f>
        <v>6.5754028345785498E-5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1.5643746063056051E-7</v>
      </c>
      <c r="C3" s="7">
        <f>$B3 * IFERROR(VLOOKUP("LULUCF|PM25|Infant mortality", US_national_yearly!$D:$AM, 11, FALSE) / VLOOKUP("LULUCF|PM25|Infant mortality", US_national_yearly!$D:$AM, 10, FALSE), 1)</f>
        <v>1.5507346872406235E-7</v>
      </c>
      <c r="D3" s="7">
        <f>$B3 * IFERROR(VLOOKUP("LULUCF|PM25|Infant mortality", US_national_yearly!$D:$AM, 12, FALSE) / VLOOKUP("LULUCF|PM25|Infant mortality", US_national_yearly!$D:$AM, 10, FALSE), 1)</f>
        <v>1.5370947681756416E-7</v>
      </c>
      <c r="E3" s="7">
        <f>$B3 * IFERROR(VLOOKUP("LULUCF|PM25|Infant mortality", US_national_yearly!$D:$AM, 13, FALSE) / VLOOKUP("LULUCF|PM25|Infant mortality", US_national_yearly!$D:$AM, 10, FALSE), 1)</f>
        <v>1.5234548491106601E-7</v>
      </c>
      <c r="F3" s="7">
        <f>$B3 * IFERROR(VLOOKUP("LULUCF|PM25|Infant mortality", US_national_yearly!$D:$AM, 14, FALSE) / VLOOKUP("LULUCF|PM25|Infant mortality", US_national_yearly!$D:$AM, 10, FALSE), 1)</f>
        <v>1.5098149300456779E-7</v>
      </c>
      <c r="G3" s="7">
        <f>$B3 * IFERROR(VLOOKUP("LULUCF|PM25|Infant mortality", US_national_yearly!$D:$AM, 15, FALSE) / VLOOKUP("LULUCF|PM25|Infant mortality", US_national_yearly!$D:$AM, 10, FALSE), 1)</f>
        <v>1.0041076914343088E-7</v>
      </c>
      <c r="H3" s="7">
        <f>$B3 * IFERROR(VLOOKUP("LULUCF|PM25|Infant mortality", US_national_yearly!$D:$AM, 16, FALSE) / VLOOKUP("LULUCF|PM25|Infant mortality", US_national_yearly!$D:$AM, 10, FALSE), 1)</f>
        <v>4.9840045282293919E-8</v>
      </c>
      <c r="I3" s="7">
        <f>$B3 * IFERROR(VLOOKUP("LULUCF|PM25|Infant mortality", US_national_yearly!$D:$AM, 17, FALSE) / VLOOKUP("LULUCF|PM25|Infant mortality", US_national_yearly!$D:$AM, 10, FALSE), 1)</f>
        <v>4.9514258257961381E-8</v>
      </c>
      <c r="J3" s="7">
        <f>$B3 * IFERROR(VLOOKUP("LULUCF|PM25|Infant mortality", US_national_yearly!$D:$AM, 18, FALSE) / VLOOKUP("LULUCF|PM25|Infant mortality", US_national_yearly!$D:$AM, 10, FALSE), 1)</f>
        <v>4.9188471233628831E-8</v>
      </c>
      <c r="K3" s="7">
        <f>$B3 * IFERROR(VLOOKUP("LULUCF|PM25|Infant mortality", US_national_yearly!$D:$AM, 19, FALSE) / VLOOKUP("LULUCF|PM25|Infant mortality", US_national_yearly!$D:$AM, 10, FALSE), 1)</f>
        <v>4.8862684209296273E-8</v>
      </c>
      <c r="L3" s="7">
        <f>$B3 * IFERROR(VLOOKUP("LULUCF|PM25|Infant mortality", US_national_yearly!$D:$AM, 20, FALSE) / VLOOKUP("LULUCF|PM25|Infant mortality", US_national_yearly!$D:$AM, 10, FALSE), 1)</f>
        <v>4.8536897184963736E-8</v>
      </c>
      <c r="M3" s="7">
        <f>$B3 * IFERROR(VLOOKUP("LULUCF|PM25|Infant mortality", US_national_yearly!$D:$AM, 21, FALSE) / VLOOKUP("LULUCF|PM25|Infant mortality", US_national_yearly!$D:$AM, 10, FALSE), 1)</f>
        <v>4.8211110160631192E-8</v>
      </c>
      <c r="N3" s="7">
        <f>$B3 * IFERROR(VLOOKUP("LULUCF|PM25|Infant mortality", US_national_yearly!$D:$AM, 22, FALSE) / VLOOKUP("LULUCF|PM25|Infant mortality", US_national_yearly!$D:$AM, 10, FALSE), 1)</f>
        <v>4.800647984120418E-8</v>
      </c>
      <c r="O3" s="7">
        <f>$B3 * IFERROR(VLOOKUP("LULUCF|PM25|Infant mortality", US_national_yearly!$D:$AM, 23, FALSE) / VLOOKUP("LULUCF|PM25|Infant mortality", US_national_yearly!$D:$AM, 10, FALSE), 1)</f>
        <v>4.7801849521777174E-8</v>
      </c>
      <c r="P3" s="7">
        <f>$B3 * IFERROR(VLOOKUP("LULUCF|PM25|Infant mortality", US_national_yearly!$D:$AM, 24, FALSE) / VLOOKUP("LULUCF|PM25|Infant mortality", US_national_yearly!$D:$AM, 10, FALSE), 1)</f>
        <v>4.7597219202350155E-8</v>
      </c>
      <c r="Q3" s="7">
        <f>$B3 * IFERROR(VLOOKUP("LULUCF|PM25|Infant mortality", US_national_yearly!$D:$AM, 25, FALSE) / VLOOKUP("LULUCF|PM25|Infant mortality", US_national_yearly!$D:$AM, 10, FALSE), 1)</f>
        <v>4.7392588882923157E-8</v>
      </c>
      <c r="R3" s="7">
        <f>$B3 * IFERROR(VLOOKUP("LULUCF|PM25|Infant mortality", US_national_yearly!$D:$AM, 26, FALSE) / VLOOKUP("LULUCF|PM25|Infant mortality", US_national_yearly!$D:$AM, 10, FALSE), 1)</f>
        <v>4.7187958563496144E-8</v>
      </c>
      <c r="S3" s="7">
        <f>$B3 * IFERROR(VLOOKUP("LULUCF|PM25|Infant mortality", US_national_yearly!$D:$AM, 27, FALSE) / VLOOKUP("LULUCF|PM25|Infant mortality", US_national_yearly!$D:$AM, 10, FALSE), 1)</f>
        <v>4.6932882686336367E-8</v>
      </c>
      <c r="T3" s="7">
        <f>$B3 * IFERROR(VLOOKUP("LULUCF|PM25|Infant mortality", US_national_yearly!$D:$AM, 28, FALSE) / VLOOKUP("LULUCF|PM25|Infant mortality", US_national_yearly!$D:$AM, 10, FALSE), 1)</f>
        <v>4.6677806809176584E-8</v>
      </c>
      <c r="U3" s="7">
        <f>$B3 * IFERROR(VLOOKUP("LULUCF|PM25|Infant mortality", US_national_yearly!$D:$AM, 29, FALSE) / VLOOKUP("LULUCF|PM25|Infant mortality", US_national_yearly!$D:$AM, 10, FALSE), 1)</f>
        <v>4.6422730932016807E-8</v>
      </c>
      <c r="V3" s="7">
        <f>$B3 * IFERROR(VLOOKUP("LULUCF|PM25|Infant mortality", US_national_yearly!$D:$AM, 30, FALSE) / VLOOKUP("LULUCF|PM25|Infant mortality", US_national_yearly!$D:$AM, 10, FALSE), 1)</f>
        <v>4.6167655054857029E-8</v>
      </c>
      <c r="W3" s="7">
        <f>$B3 * IFERROR(VLOOKUP("LULUCF|PM25|Infant mortality", US_national_yearly!$D:$AM, 31, FALSE) / VLOOKUP("LULUCF|PM25|Infant mortality", US_national_yearly!$D:$AM, 10, FALSE), 1)</f>
        <v>4.5912579177697246E-8</v>
      </c>
      <c r="X3" s="7">
        <f>$B3 * IFERROR(VLOOKUP("LULUCF|PM25|Infant mortality", US_national_yearly!$D:$AM, 32, FALSE) / VLOOKUP("LULUCF|PM25|Infant mortality", US_national_yearly!$D:$AM, 10, FALSE), 1)</f>
        <v>4.5637575322444692E-8</v>
      </c>
      <c r="Y3" s="7">
        <f>$B3 * IFERROR(VLOOKUP("LULUCF|PM25|Infant mortality", US_national_yearly!$D:$AM, 33, FALSE) / VLOOKUP("LULUCF|PM25|Infant mortality", US_national_yearly!$D:$AM, 10, FALSE), 1)</f>
        <v>4.5362571467192126E-8</v>
      </c>
      <c r="Z3" s="7">
        <f>$B3 * IFERROR(VLOOKUP("LULUCF|PM25|Infant mortality", US_national_yearly!$D:$AM, 34, FALSE) / VLOOKUP("LULUCF|PM25|Infant mortality", US_national_yearly!$D:$AM, 10, FALSE), 1)</f>
        <v>4.5087567611939572E-8</v>
      </c>
      <c r="AA3" s="7">
        <f>$B3 * IFERROR(VLOOKUP("LULUCF|PM25|Infant mortality", US_national_yearly!$D:$AM, 35, FALSE) / VLOOKUP("LULUCF|PM25|Infant mortality", US_national_yearly!$D:$AM, 10, FALSE), 1)</f>
        <v>4.4812563756687012E-8</v>
      </c>
      <c r="AB3" s="7">
        <f>$B3 * IFERROR(VLOOKUP("LULUCF|PM25|Infant mortality", US_national_yearly!$D:$AM, 36, FALSE) / VLOOKUP("LULUCF|PM25|Infant mortality", US_national_yearly!$D:$AM, 10, FALSE), 1)</f>
        <v>4.4537559901434465E-8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1.6168344514203535E-4</v>
      </c>
      <c r="C6" s="7">
        <f>$B6 * IFERROR(VLOOKUP("LULUCF|PM25|Asthma symptoms cough", US_national_yearly!$D:$AM, 11, FALSE) / VLOOKUP("LULUCF|PM25|Asthma symptoms cough", US_national_yearly!$D:$AM, 10, FALSE), 1)</f>
        <v>1.6168344514203535E-4</v>
      </c>
      <c r="D6" s="7">
        <f>$B6 * IFERROR(VLOOKUP("LULUCF|PM25|Asthma symptoms cough", US_national_yearly!$D:$AM, 12, FALSE) / VLOOKUP("LULUCF|PM25|Asthma symptoms cough", US_national_yearly!$D:$AM, 10, FALSE), 1)</f>
        <v>1.6168344514203535E-4</v>
      </c>
      <c r="E6" s="7">
        <f>$B6 * IFERROR(VLOOKUP("LULUCF|PM25|Asthma symptoms cough", US_national_yearly!$D:$AM, 13, FALSE) / VLOOKUP("LULUCF|PM25|Asthma symptoms cough", US_national_yearly!$D:$AM, 10, FALSE), 1)</f>
        <v>1.6168344514203535E-4</v>
      </c>
      <c r="F6" s="7">
        <f>$B6 * IFERROR(VLOOKUP("LULUCF|PM25|Asthma symptoms cough", US_national_yearly!$D:$AM, 14, FALSE) / VLOOKUP("LULUCF|PM25|Asthma symptoms cough", US_national_yearly!$D:$AM, 10, FALSE), 1)</f>
        <v>1.6168344514203535E-4</v>
      </c>
      <c r="G6" s="7">
        <f>$B6 * IFERROR(VLOOKUP("LULUCF|PM25|Asthma symptoms cough", US_national_yearly!$D:$AM, 15, FALSE) / VLOOKUP("LULUCF|PM25|Asthma symptoms cough", US_national_yearly!$D:$AM, 10, FALSE), 1)</f>
        <v>1.6168344514203535E-4</v>
      </c>
      <c r="H6" s="7">
        <f>$B6 * IFERROR(VLOOKUP("LULUCF|PM25|Asthma symptoms cough", US_national_yearly!$D:$AM, 16, FALSE) / VLOOKUP("LULUCF|PM25|Asthma symptoms cough", US_national_yearly!$D:$AM, 10, FALSE), 1)</f>
        <v>1.6168344514203535E-4</v>
      </c>
      <c r="I6" s="7">
        <f>$B6 * IFERROR(VLOOKUP("LULUCF|PM25|Asthma symptoms cough", US_national_yearly!$D:$AM, 17, FALSE) / VLOOKUP("LULUCF|PM25|Asthma symptoms cough", US_national_yearly!$D:$AM, 10, FALSE), 1)</f>
        <v>1.6168344514203535E-4</v>
      </c>
      <c r="J6" s="7">
        <f>$B6 * IFERROR(VLOOKUP("LULUCF|PM25|Asthma symptoms cough", US_national_yearly!$D:$AM, 18, FALSE) / VLOOKUP("LULUCF|PM25|Asthma symptoms cough", US_national_yearly!$D:$AM, 10, FALSE), 1)</f>
        <v>1.6168344514203535E-4</v>
      </c>
      <c r="K6" s="7">
        <f>$B6 * IFERROR(VLOOKUP("LULUCF|PM25|Asthma symptoms cough", US_national_yearly!$D:$AM, 19, FALSE) / VLOOKUP("LULUCF|PM25|Asthma symptoms cough", US_national_yearly!$D:$AM, 10, FALSE), 1)</f>
        <v>1.6168344514203535E-4</v>
      </c>
      <c r="L6" s="7">
        <f>$B6 * IFERROR(VLOOKUP("LULUCF|PM25|Asthma symptoms cough", US_national_yearly!$D:$AM, 20, FALSE) / VLOOKUP("LULUCF|PM25|Asthma symptoms cough", US_national_yearly!$D:$AM, 10, FALSE), 1)</f>
        <v>1.6168344514203535E-4</v>
      </c>
      <c r="M6" s="7">
        <f>$B6 * IFERROR(VLOOKUP("LULUCF|PM25|Asthma symptoms cough", US_national_yearly!$D:$AM, 21, FALSE) / VLOOKUP("LULUCF|PM25|Asthma symptoms cough", US_national_yearly!$D:$AM, 10, FALSE), 1)</f>
        <v>1.6168344514203535E-4</v>
      </c>
      <c r="N6" s="7">
        <f>$B6 * IFERROR(VLOOKUP("LULUCF|PM25|Asthma symptoms cough", US_national_yearly!$D:$AM, 22, FALSE) / VLOOKUP("LULUCF|PM25|Asthma symptoms cough", US_national_yearly!$D:$AM, 10, FALSE), 1)</f>
        <v>1.6168344514203535E-4</v>
      </c>
      <c r="O6" s="7">
        <f>$B6 * IFERROR(VLOOKUP("LULUCF|PM25|Asthma symptoms cough", US_national_yearly!$D:$AM, 23, FALSE) / VLOOKUP("LULUCF|PM25|Asthma symptoms cough", US_national_yearly!$D:$AM, 10, FALSE), 1)</f>
        <v>1.6168344514203535E-4</v>
      </c>
      <c r="P6" s="7">
        <f>$B6 * IFERROR(VLOOKUP("LULUCF|PM25|Asthma symptoms cough", US_national_yearly!$D:$AM, 24, FALSE) / VLOOKUP("LULUCF|PM25|Asthma symptoms cough", US_national_yearly!$D:$AM, 10, FALSE), 1)</f>
        <v>1.6168344514203535E-4</v>
      </c>
      <c r="Q6" s="7">
        <f>$B6 * IFERROR(VLOOKUP("LULUCF|PM25|Asthma symptoms cough", US_national_yearly!$D:$AM, 25, FALSE) / VLOOKUP("LULUCF|PM25|Asthma symptoms cough", US_national_yearly!$D:$AM, 10, FALSE), 1)</f>
        <v>1.6168344514203535E-4</v>
      </c>
      <c r="R6" s="7">
        <f>$B6 * IFERROR(VLOOKUP("LULUCF|PM25|Asthma symptoms cough", US_national_yearly!$D:$AM, 26, FALSE) / VLOOKUP("LULUCF|PM25|Asthma symptoms cough", US_national_yearly!$D:$AM, 10, FALSE), 1)</f>
        <v>1.6168344514203535E-4</v>
      </c>
      <c r="S6" s="7">
        <f>$B6 * IFERROR(VLOOKUP("LULUCF|PM25|Asthma symptoms cough", US_national_yearly!$D:$AM, 27, FALSE) / VLOOKUP("LULUCF|PM25|Asthma symptoms cough", US_national_yearly!$D:$AM, 10, FALSE), 1)</f>
        <v>1.6168344514203535E-4</v>
      </c>
      <c r="T6" s="7">
        <f>$B6 * IFERROR(VLOOKUP("LULUCF|PM25|Asthma symptoms cough", US_national_yearly!$D:$AM, 28, FALSE) / VLOOKUP("LULUCF|PM25|Asthma symptoms cough", US_national_yearly!$D:$AM, 10, FALSE), 1)</f>
        <v>1.6168344514203535E-4</v>
      </c>
      <c r="U6" s="7">
        <f>$B6 * IFERROR(VLOOKUP("LULUCF|PM25|Asthma symptoms cough", US_national_yearly!$D:$AM, 29, FALSE) / VLOOKUP("LULUCF|PM25|Asthma symptoms cough", US_national_yearly!$D:$AM, 10, FALSE), 1)</f>
        <v>1.6168344514203535E-4</v>
      </c>
      <c r="V6" s="7">
        <f>$B6 * IFERROR(VLOOKUP("LULUCF|PM25|Asthma symptoms cough", US_national_yearly!$D:$AM, 30, FALSE) / VLOOKUP("LULUCF|PM25|Asthma symptoms cough", US_national_yearly!$D:$AM, 10, FALSE), 1)</f>
        <v>1.6168344514203535E-4</v>
      </c>
      <c r="W6" s="7">
        <f>$B6 * IFERROR(VLOOKUP("LULUCF|PM25|Asthma symptoms cough", US_national_yearly!$D:$AM, 31, FALSE) / VLOOKUP("LULUCF|PM25|Asthma symptoms cough", US_national_yearly!$D:$AM, 10, FALSE), 1)</f>
        <v>1.6168344514203535E-4</v>
      </c>
      <c r="X6" s="7">
        <f>$B6 * IFERROR(VLOOKUP("LULUCF|PM25|Asthma symptoms cough", US_national_yearly!$D:$AM, 32, FALSE) / VLOOKUP("LULUCF|PM25|Asthma symptoms cough", US_national_yearly!$D:$AM, 10, FALSE), 1)</f>
        <v>1.6168344514203535E-4</v>
      </c>
      <c r="Y6" s="7">
        <f>$B6 * IFERROR(VLOOKUP("LULUCF|PM25|Asthma symptoms cough", US_national_yearly!$D:$AM, 33, FALSE) / VLOOKUP("LULUCF|PM25|Asthma symptoms cough", US_national_yearly!$D:$AM, 10, FALSE), 1)</f>
        <v>1.6168344514203535E-4</v>
      </c>
      <c r="Z6" s="7">
        <f>$B6 * IFERROR(VLOOKUP("LULUCF|PM25|Asthma symptoms cough", US_national_yearly!$D:$AM, 34, FALSE) / VLOOKUP("LULUCF|PM25|Asthma symptoms cough", US_national_yearly!$D:$AM, 10, FALSE), 1)</f>
        <v>1.6168344514203535E-4</v>
      </c>
      <c r="AA6" s="7">
        <f>$B6 * IFERROR(VLOOKUP("LULUCF|PM25|Asthma symptoms cough", US_national_yearly!$D:$AM, 35, FALSE) / VLOOKUP("LULUCF|PM25|Asthma symptoms cough", US_national_yearly!$D:$AM, 10, FALSE), 1)</f>
        <v>1.6168344514203535E-4</v>
      </c>
      <c r="AB6" s="7">
        <f>$B6 * IFERROR(VLOOKUP("LULUCF|PM25|Asthma symptoms cough", US_national_yearly!$D:$AM, 36, FALSE) / VLOOKUP("LULUCF|PM25|Asthma symptoms cough", US_national_yearly!$D:$AM, 10, FALSE), 1)</f>
        <v>1.6168344514203535E-4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2.1773034196824513E-4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2.1773034196824513E-4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2.1773034196824513E-4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2.1773034196824513E-4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2.1773034196824513E-4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2.1773034196824513E-4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2.1773034196824513E-4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2.1773034196824513E-4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2.1773034196824513E-4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2.1773034196824513E-4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2.1773034196824513E-4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2.1773034196824513E-4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2.1773034196824513E-4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2.1773034196824513E-4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2.1773034196824513E-4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2.1773034196824513E-4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2.1773034196824513E-4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2.1773034196824513E-4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2.1773034196824513E-4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2.1773034196824513E-4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2.1773034196824513E-4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2.1773034196824513E-4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2.1773034196824513E-4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2.1773034196824513E-4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2.1773034196824513E-4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2.1773034196824513E-4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2.1773034196824513E-4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3.326546276782368E-4</v>
      </c>
      <c r="C8" s="7">
        <f>$B8 * IFERROR(VLOOKUP("LULUCF|PM25|Asthma symptoms wheeze", US_national_yearly!$D:$AM, 11, FALSE) / VLOOKUP("LULUCF|PM25|Asthma symptoms wheeze", US_national_yearly!$D:$AM, 10, FALSE), 1)</f>
        <v>3.326546276782368E-4</v>
      </c>
      <c r="D8" s="7">
        <f>$B8 * IFERROR(VLOOKUP("LULUCF|PM25|Asthma symptoms wheeze", US_national_yearly!$D:$AM, 12, FALSE) / VLOOKUP("LULUCF|PM25|Asthma symptoms wheeze", US_national_yearly!$D:$AM, 10, FALSE), 1)</f>
        <v>3.326546276782368E-4</v>
      </c>
      <c r="E8" s="7">
        <f>$B8 * IFERROR(VLOOKUP("LULUCF|PM25|Asthma symptoms wheeze", US_national_yearly!$D:$AM, 13, FALSE) / VLOOKUP("LULUCF|PM25|Asthma symptoms wheeze", US_national_yearly!$D:$AM, 10, FALSE), 1)</f>
        <v>3.326546276782368E-4</v>
      </c>
      <c r="F8" s="7">
        <f>$B8 * IFERROR(VLOOKUP("LULUCF|PM25|Asthma symptoms wheeze", US_national_yearly!$D:$AM, 14, FALSE) / VLOOKUP("LULUCF|PM25|Asthma symptoms wheeze", US_national_yearly!$D:$AM, 10, FALSE), 1)</f>
        <v>3.326546276782368E-4</v>
      </c>
      <c r="G8" s="7">
        <f>$B8 * IFERROR(VLOOKUP("LULUCF|PM25|Asthma symptoms wheeze", US_national_yearly!$D:$AM, 15, FALSE) / VLOOKUP("LULUCF|PM25|Asthma symptoms wheeze", US_national_yearly!$D:$AM, 10, FALSE), 1)</f>
        <v>3.326546276782368E-4</v>
      </c>
      <c r="H8" s="7">
        <f>$B8 * IFERROR(VLOOKUP("LULUCF|PM25|Asthma symptoms wheeze", US_national_yearly!$D:$AM, 16, FALSE) / VLOOKUP("LULUCF|PM25|Asthma symptoms wheeze", US_national_yearly!$D:$AM, 10, FALSE), 1)</f>
        <v>3.326546276782368E-4</v>
      </c>
      <c r="I8" s="7">
        <f>$B8 * IFERROR(VLOOKUP("LULUCF|PM25|Asthma symptoms wheeze", US_national_yearly!$D:$AM, 17, FALSE) / VLOOKUP("LULUCF|PM25|Asthma symptoms wheeze", US_national_yearly!$D:$AM, 10, FALSE), 1)</f>
        <v>3.326546276782368E-4</v>
      </c>
      <c r="J8" s="7">
        <f>$B8 * IFERROR(VLOOKUP("LULUCF|PM25|Asthma symptoms wheeze", US_national_yearly!$D:$AM, 18, FALSE) / VLOOKUP("LULUCF|PM25|Asthma symptoms wheeze", US_national_yearly!$D:$AM, 10, FALSE), 1)</f>
        <v>3.326546276782368E-4</v>
      </c>
      <c r="K8" s="7">
        <f>$B8 * IFERROR(VLOOKUP("LULUCF|PM25|Asthma symptoms wheeze", US_national_yearly!$D:$AM, 19, FALSE) / VLOOKUP("LULUCF|PM25|Asthma symptoms wheeze", US_national_yearly!$D:$AM, 10, FALSE), 1)</f>
        <v>3.326546276782368E-4</v>
      </c>
      <c r="L8" s="7">
        <f>$B8 * IFERROR(VLOOKUP("LULUCF|PM25|Asthma symptoms wheeze", US_national_yearly!$D:$AM, 20, FALSE) / VLOOKUP("LULUCF|PM25|Asthma symptoms wheeze", US_national_yearly!$D:$AM, 10, FALSE), 1)</f>
        <v>3.326546276782368E-4</v>
      </c>
      <c r="M8" s="7">
        <f>$B8 * IFERROR(VLOOKUP("LULUCF|PM25|Asthma symptoms wheeze", US_national_yearly!$D:$AM, 21, FALSE) / VLOOKUP("LULUCF|PM25|Asthma symptoms wheeze", US_national_yearly!$D:$AM, 10, FALSE), 1)</f>
        <v>3.326546276782368E-4</v>
      </c>
      <c r="N8" s="7">
        <f>$B8 * IFERROR(VLOOKUP("LULUCF|PM25|Asthma symptoms wheeze", US_national_yearly!$D:$AM, 22, FALSE) / VLOOKUP("LULUCF|PM25|Asthma symptoms wheeze", US_national_yearly!$D:$AM, 10, FALSE), 1)</f>
        <v>3.326546276782368E-4</v>
      </c>
      <c r="O8" s="7">
        <f>$B8 * IFERROR(VLOOKUP("LULUCF|PM25|Asthma symptoms wheeze", US_national_yearly!$D:$AM, 23, FALSE) / VLOOKUP("LULUCF|PM25|Asthma symptoms wheeze", US_national_yearly!$D:$AM, 10, FALSE), 1)</f>
        <v>3.326546276782368E-4</v>
      </c>
      <c r="P8" s="7">
        <f>$B8 * IFERROR(VLOOKUP("LULUCF|PM25|Asthma symptoms wheeze", US_national_yearly!$D:$AM, 24, FALSE) / VLOOKUP("LULUCF|PM25|Asthma symptoms wheeze", US_national_yearly!$D:$AM, 10, FALSE), 1)</f>
        <v>3.326546276782368E-4</v>
      </c>
      <c r="Q8" s="7">
        <f>$B8 * IFERROR(VLOOKUP("LULUCF|PM25|Asthma symptoms wheeze", US_national_yearly!$D:$AM, 25, FALSE) / VLOOKUP("LULUCF|PM25|Asthma symptoms wheeze", US_national_yearly!$D:$AM, 10, FALSE), 1)</f>
        <v>3.326546276782368E-4</v>
      </c>
      <c r="R8" s="7">
        <f>$B8 * IFERROR(VLOOKUP("LULUCF|PM25|Asthma symptoms wheeze", US_national_yearly!$D:$AM, 26, FALSE) / VLOOKUP("LULUCF|PM25|Asthma symptoms wheeze", US_national_yearly!$D:$AM, 10, FALSE), 1)</f>
        <v>3.326546276782368E-4</v>
      </c>
      <c r="S8" s="7">
        <f>$B8 * IFERROR(VLOOKUP("LULUCF|PM25|Asthma symptoms wheeze", US_national_yearly!$D:$AM, 27, FALSE) / VLOOKUP("LULUCF|PM25|Asthma symptoms wheeze", US_national_yearly!$D:$AM, 10, FALSE), 1)</f>
        <v>3.326546276782368E-4</v>
      </c>
      <c r="T8" s="7">
        <f>$B8 * IFERROR(VLOOKUP("LULUCF|PM25|Asthma symptoms wheeze", US_national_yearly!$D:$AM, 28, FALSE) / VLOOKUP("LULUCF|PM25|Asthma symptoms wheeze", US_national_yearly!$D:$AM, 10, FALSE), 1)</f>
        <v>3.326546276782368E-4</v>
      </c>
      <c r="U8" s="7">
        <f>$B8 * IFERROR(VLOOKUP("LULUCF|PM25|Asthma symptoms wheeze", US_national_yearly!$D:$AM, 29, FALSE) / VLOOKUP("LULUCF|PM25|Asthma symptoms wheeze", US_national_yearly!$D:$AM, 10, FALSE), 1)</f>
        <v>3.326546276782368E-4</v>
      </c>
      <c r="V8" s="7">
        <f>$B8 * IFERROR(VLOOKUP("LULUCF|PM25|Asthma symptoms wheeze", US_national_yearly!$D:$AM, 30, FALSE) / VLOOKUP("LULUCF|PM25|Asthma symptoms wheeze", US_national_yearly!$D:$AM, 10, FALSE), 1)</f>
        <v>3.326546276782368E-4</v>
      </c>
      <c r="W8" s="7">
        <f>$B8 * IFERROR(VLOOKUP("LULUCF|PM25|Asthma symptoms wheeze", US_national_yearly!$D:$AM, 31, FALSE) / VLOOKUP("LULUCF|PM25|Asthma symptoms wheeze", US_national_yearly!$D:$AM, 10, FALSE), 1)</f>
        <v>3.326546276782368E-4</v>
      </c>
      <c r="X8" s="7">
        <f>$B8 * IFERROR(VLOOKUP("LULUCF|PM25|Asthma symptoms wheeze", US_national_yearly!$D:$AM, 32, FALSE) / VLOOKUP("LULUCF|PM25|Asthma symptoms wheeze", US_national_yearly!$D:$AM, 10, FALSE), 1)</f>
        <v>3.326546276782368E-4</v>
      </c>
      <c r="Y8" s="7">
        <f>$B8 * IFERROR(VLOOKUP("LULUCF|PM25|Asthma symptoms wheeze", US_national_yearly!$D:$AM, 33, FALSE) / VLOOKUP("LULUCF|PM25|Asthma symptoms wheeze", US_national_yearly!$D:$AM, 10, FALSE), 1)</f>
        <v>3.326546276782368E-4</v>
      </c>
      <c r="Z8" s="7">
        <f>$B8 * IFERROR(VLOOKUP("LULUCF|PM25|Asthma symptoms wheeze", US_national_yearly!$D:$AM, 34, FALSE) / VLOOKUP("LULUCF|PM25|Asthma symptoms wheeze", US_national_yearly!$D:$AM, 10, FALSE), 1)</f>
        <v>3.326546276782368E-4</v>
      </c>
      <c r="AA8" s="7">
        <f>$B8 * IFERROR(VLOOKUP("LULUCF|PM25|Asthma symptoms wheeze", US_national_yearly!$D:$AM, 35, FALSE) / VLOOKUP("LULUCF|PM25|Asthma symptoms wheeze", US_national_yearly!$D:$AM, 10, FALSE), 1)</f>
        <v>3.326546276782368E-4</v>
      </c>
      <c r="AB8" s="7">
        <f>$B8 * IFERROR(VLOOKUP("LULUCF|PM25|Asthma symptoms wheeze", US_national_yearly!$D:$AM, 36, FALSE) / VLOOKUP("LULUCF|PM25|Asthma symptoms wheeze", US_national_yearly!$D:$AM, 10, FALSE), 1)</f>
        <v>3.326546276782368E-4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3.3558507785228327E-6</v>
      </c>
      <c r="C12" s="7">
        <f>$B12 * IFERROR(VLOOKUP("LULUCF|PM25|Respiratory hospital admissions", US_national_yearly!$D:$AM, 11, FALSE) / VLOOKUP("LULUCF|PM25|Respiratory hospital admissions", US_national_yearly!$D:$AM, 10, FALSE), 1)</f>
        <v>3.3750851625863381E-6</v>
      </c>
      <c r="D12" s="7">
        <f>$B12 * IFERROR(VLOOKUP("LULUCF|PM25|Respiratory hospital admissions", US_national_yearly!$D:$AM, 12, FALSE) / VLOOKUP("LULUCF|PM25|Respiratory hospital admissions", US_national_yearly!$D:$AM, 10, FALSE), 1)</f>
        <v>3.3943195466498426E-6</v>
      </c>
      <c r="E12" s="7">
        <f>$B12 * IFERROR(VLOOKUP("LULUCF|PM25|Respiratory hospital admissions", US_national_yearly!$D:$AM, 13, FALSE) / VLOOKUP("LULUCF|PM25|Respiratory hospital admissions", US_national_yearly!$D:$AM, 10, FALSE), 1)</f>
        <v>3.413553930713348E-6</v>
      </c>
      <c r="F12" s="7">
        <f>$B12 * IFERROR(VLOOKUP("LULUCF|PM25|Respiratory hospital admissions", US_national_yearly!$D:$AM, 14, FALSE) / VLOOKUP("LULUCF|PM25|Respiratory hospital admissions", US_national_yearly!$D:$AM, 10, FALSE), 1)</f>
        <v>3.4327883147768526E-6</v>
      </c>
      <c r="G12" s="7">
        <f>$B12 * IFERROR(VLOOKUP("LULUCF|PM25|Respiratory hospital admissions", US_national_yearly!$D:$AM, 15, FALSE) / VLOOKUP("LULUCF|PM25|Respiratory hospital admissions", US_national_yearly!$D:$AM, 10, FALSE), 1)</f>
        <v>3.4535622700133929E-6</v>
      </c>
      <c r="H12" s="7">
        <f>$B12 * IFERROR(VLOOKUP("LULUCF|PM25|Respiratory hospital admissions", US_national_yearly!$D:$AM, 16, FALSE) / VLOOKUP("LULUCF|PM25|Respiratory hospital admissions", US_national_yearly!$D:$AM, 10, FALSE), 1)</f>
        <v>3.4743362252499327E-6</v>
      </c>
      <c r="I12" s="7">
        <f>$B12 * IFERROR(VLOOKUP("LULUCF|PM25|Respiratory hospital admissions", US_national_yearly!$D:$AM, 17, FALSE) / VLOOKUP("LULUCF|PM25|Respiratory hospital admissions", US_national_yearly!$D:$AM, 10, FALSE), 1)</f>
        <v>3.4941849502029298E-6</v>
      </c>
      <c r="J12" s="7">
        <f>$B12 * IFERROR(VLOOKUP("LULUCF|PM25|Respiratory hospital admissions", US_national_yearly!$D:$AM, 18, FALSE) / VLOOKUP("LULUCF|PM25|Respiratory hospital admissions", US_national_yearly!$D:$AM, 10, FALSE), 1)</f>
        <v>3.5140336751559282E-6</v>
      </c>
      <c r="K12" s="7">
        <f>$B12 * IFERROR(VLOOKUP("LULUCF|PM25|Respiratory hospital admissions", US_national_yearly!$D:$AM, 19, FALSE) / VLOOKUP("LULUCF|PM25|Respiratory hospital admissions", US_national_yearly!$D:$AM, 10, FALSE), 1)</f>
        <v>3.5338824001089257E-6</v>
      </c>
      <c r="L12" s="7">
        <f>$B12 * IFERROR(VLOOKUP("LULUCF|PM25|Respiratory hospital admissions", US_national_yearly!$D:$AM, 20, FALSE) / VLOOKUP("LULUCF|PM25|Respiratory hospital admissions", US_national_yearly!$D:$AM, 10, FALSE), 1)</f>
        <v>3.5537311250619241E-6</v>
      </c>
      <c r="M12" s="7">
        <f>$B12 * IFERROR(VLOOKUP("LULUCF|PM25|Respiratory hospital admissions", US_national_yearly!$D:$AM, 21, FALSE) / VLOOKUP("LULUCF|PM25|Respiratory hospital admissions", US_national_yearly!$D:$AM, 10, FALSE), 1)</f>
        <v>3.5735798500149208E-6</v>
      </c>
      <c r="N12" s="7">
        <f>$B12 * IFERROR(VLOOKUP("LULUCF|PM25|Respiratory hospital admissions", US_national_yearly!$D:$AM, 22, FALSE) / VLOOKUP("LULUCF|PM25|Respiratory hospital admissions", US_national_yearly!$D:$AM, 10, FALSE), 1)</f>
        <v>3.5878258591357854E-6</v>
      </c>
      <c r="O12" s="7">
        <f>$B12 * IFERROR(VLOOKUP("LULUCF|PM25|Respiratory hospital admissions", US_national_yearly!$D:$AM, 23, FALSE) / VLOOKUP("LULUCF|PM25|Respiratory hospital admissions", US_national_yearly!$D:$AM, 10, FALSE), 1)</f>
        <v>3.6020718682566491E-6</v>
      </c>
      <c r="P12" s="7">
        <f>$B12 * IFERROR(VLOOKUP("LULUCF|PM25|Respiratory hospital admissions", US_national_yearly!$D:$AM, 24, FALSE) / VLOOKUP("LULUCF|PM25|Respiratory hospital admissions", US_national_yearly!$D:$AM, 10, FALSE), 1)</f>
        <v>3.6163178773775119E-6</v>
      </c>
      <c r="Q12" s="7">
        <f>$B12 * IFERROR(VLOOKUP("LULUCF|PM25|Respiratory hospital admissions", US_national_yearly!$D:$AM, 25, FALSE) / VLOOKUP("LULUCF|PM25|Respiratory hospital admissions", US_national_yearly!$D:$AM, 10, FALSE), 1)</f>
        <v>3.6305638864983756E-6</v>
      </c>
      <c r="R12" s="7">
        <f>$B12 * IFERROR(VLOOKUP("LULUCF|PM25|Respiratory hospital admissions", US_national_yearly!$D:$AM, 26, FALSE) / VLOOKUP("LULUCF|PM25|Respiratory hospital admissions", US_national_yearly!$D:$AM, 10, FALSE), 1)</f>
        <v>3.6448098956192398E-6</v>
      </c>
      <c r="S12" s="7">
        <f>$B12 * IFERROR(VLOOKUP("LULUCF|PM25|Respiratory hospital admissions", US_national_yearly!$D:$AM, 27, FALSE) / VLOOKUP("LULUCF|PM25|Respiratory hospital admissions", US_national_yearly!$D:$AM, 10, FALSE), 1)</f>
        <v>3.6583739734685815E-6</v>
      </c>
      <c r="T12" s="7">
        <f>$B12 * IFERROR(VLOOKUP("LULUCF|PM25|Respiratory hospital admissions", US_national_yearly!$D:$AM, 28, FALSE) / VLOOKUP("LULUCF|PM25|Respiratory hospital admissions", US_national_yearly!$D:$AM, 10, FALSE), 1)</f>
        <v>3.6719380513179237E-6</v>
      </c>
      <c r="U12" s="7">
        <f>$B12 * IFERROR(VLOOKUP("LULUCF|PM25|Respiratory hospital admissions", US_national_yearly!$D:$AM, 29, FALSE) / VLOOKUP("LULUCF|PM25|Respiratory hospital admissions", US_national_yearly!$D:$AM, 10, FALSE), 1)</f>
        <v>3.6855021291672654E-6</v>
      </c>
      <c r="V12" s="7">
        <f>$B12 * IFERROR(VLOOKUP("LULUCF|PM25|Respiratory hospital admissions", US_national_yearly!$D:$AM, 30, FALSE) / VLOOKUP("LULUCF|PM25|Respiratory hospital admissions", US_national_yearly!$D:$AM, 10, FALSE), 1)</f>
        <v>3.6990662070166067E-6</v>
      </c>
      <c r="W12" s="7">
        <f>$B12 * IFERROR(VLOOKUP("LULUCF|PM25|Respiratory hospital admissions", US_national_yearly!$D:$AM, 31, FALSE) / VLOOKUP("LULUCF|PM25|Respiratory hospital admissions", US_national_yearly!$D:$AM, 10, FALSE), 1)</f>
        <v>3.7126302848659485E-6</v>
      </c>
      <c r="X12" s="7">
        <f>$B12 * IFERROR(VLOOKUP("LULUCF|PM25|Respiratory hospital admissions", US_national_yearly!$D:$AM, 32, FALSE) / VLOOKUP("LULUCF|PM25|Respiratory hospital admissions", US_national_yearly!$D:$AM, 10, FALSE), 1)</f>
        <v>3.7256791007827005E-6</v>
      </c>
      <c r="Y12" s="7">
        <f>$B12 * IFERROR(VLOOKUP("LULUCF|PM25|Respiratory hospital admissions", US_national_yearly!$D:$AM, 33, FALSE) / VLOOKUP("LULUCF|PM25|Respiratory hospital admissions", US_national_yearly!$D:$AM, 10, FALSE), 1)</f>
        <v>3.7387279166994514E-6</v>
      </c>
      <c r="Z12" s="7">
        <f>$B12 * IFERROR(VLOOKUP("LULUCF|PM25|Respiratory hospital admissions", US_national_yearly!$D:$AM, 34, FALSE) / VLOOKUP("LULUCF|PM25|Respiratory hospital admissions", US_national_yearly!$D:$AM, 10, FALSE), 1)</f>
        <v>3.7517767326162026E-6</v>
      </c>
      <c r="AA12" s="7">
        <f>$B12 * IFERROR(VLOOKUP("LULUCF|PM25|Respiratory hospital admissions", US_national_yearly!$D:$AM, 35, FALSE) / VLOOKUP("LULUCF|PM25|Respiratory hospital admissions", US_national_yearly!$D:$AM, 10, FALSE), 1)</f>
        <v>3.7648255485329534E-6</v>
      </c>
      <c r="AB12" s="7">
        <f>$B12 * IFERROR(VLOOKUP("LULUCF|PM25|Respiratory hospital admissions", US_national_yearly!$D:$AM, 36, FALSE) / VLOOKUP("LULUCF|PM25|Respiratory hospital admissions", US_national_yearly!$D:$AM, 10, FALSE), 1)</f>
        <v>3.7778743644497047E-6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1.9450720287122656E-5</v>
      </c>
      <c r="C13" s="7">
        <f>$B13 * IFERROR(VLOOKUP("LULUCF|PM25|Non-fatal heart attacks", US_national_yearly!$D:$AM, 11, FALSE) / VLOOKUP("LULUCF|PM25|Non-fatal heart attacks", US_national_yearly!$D:$AM, 10, FALSE), 1)</f>
        <v>2.0016204342173471E-5</v>
      </c>
      <c r="D13" s="7">
        <f>$B13 * IFERROR(VLOOKUP("LULUCF|PM25|Non-fatal heart attacks", US_national_yearly!$D:$AM, 12, FALSE) / VLOOKUP("LULUCF|PM25|Non-fatal heart attacks", US_national_yearly!$D:$AM, 10, FALSE), 1)</f>
        <v>2.0581688397224287E-5</v>
      </c>
      <c r="E13" s="7">
        <f>$B13 * IFERROR(VLOOKUP("LULUCF|PM25|Non-fatal heart attacks", US_national_yearly!$D:$AM, 13, FALSE) / VLOOKUP("LULUCF|PM25|Non-fatal heart attacks", US_national_yearly!$D:$AM, 10, FALSE), 1)</f>
        <v>2.1147172452275099E-5</v>
      </c>
      <c r="F13" s="7">
        <f>$B13 * IFERROR(VLOOKUP("LULUCF|PM25|Non-fatal heart attacks", US_national_yearly!$D:$AM, 14, FALSE) / VLOOKUP("LULUCF|PM25|Non-fatal heart attacks", US_national_yearly!$D:$AM, 10, FALSE), 1)</f>
        <v>2.1712656507325917E-5</v>
      </c>
      <c r="G13" s="7">
        <f>$B13 * IFERROR(VLOOKUP("LULUCF|PM25|Non-fatal heart attacks", US_national_yearly!$D:$AM, 15, FALSE) / VLOOKUP("LULUCF|PM25|Non-fatal heart attacks", US_national_yearly!$D:$AM, 10, FALSE), 1)</f>
        <v>2.224594372044772E-5</v>
      </c>
      <c r="H13" s="7">
        <f>$B13 * IFERROR(VLOOKUP("LULUCF|PM25|Non-fatal heart attacks", US_national_yearly!$D:$AM, 16, FALSE) / VLOOKUP("LULUCF|PM25|Non-fatal heart attacks", US_national_yearly!$D:$AM, 10, FALSE), 1)</f>
        <v>2.2779230933569522E-5</v>
      </c>
      <c r="I13" s="7">
        <f>$B13 * IFERROR(VLOOKUP("LULUCF|PM25|Non-fatal heart attacks", US_national_yearly!$D:$AM, 17, FALSE) / VLOOKUP("LULUCF|PM25|Non-fatal heart attacks", US_national_yearly!$D:$AM, 10, FALSE), 1)</f>
        <v>2.3207816398929867E-5</v>
      </c>
      <c r="J13" s="7">
        <f>$B13 * IFERROR(VLOOKUP("LULUCF|PM25|Non-fatal heart attacks", US_national_yearly!$D:$AM, 18, FALSE) / VLOOKUP("LULUCF|PM25|Non-fatal heart attacks", US_national_yearly!$D:$AM, 10, FALSE), 1)</f>
        <v>2.3636401864290209E-5</v>
      </c>
      <c r="K13" s="7">
        <f>$B13 * IFERROR(VLOOKUP("LULUCF|PM25|Non-fatal heart attacks", US_national_yearly!$D:$AM, 19, FALSE) / VLOOKUP("LULUCF|PM25|Non-fatal heart attacks", US_national_yearly!$D:$AM, 10, FALSE), 1)</f>
        <v>2.4064987329650561E-5</v>
      </c>
      <c r="L13" s="7">
        <f>$B13 * IFERROR(VLOOKUP("LULUCF|PM25|Non-fatal heart attacks", US_national_yearly!$D:$AM, 20, FALSE) / VLOOKUP("LULUCF|PM25|Non-fatal heart attacks", US_national_yearly!$D:$AM, 10, FALSE), 1)</f>
        <v>2.4493572795010903E-5</v>
      </c>
      <c r="M13" s="7">
        <f>$B13 * IFERROR(VLOOKUP("LULUCF|PM25|Non-fatal heart attacks", US_national_yearly!$D:$AM, 21, FALSE) / VLOOKUP("LULUCF|PM25|Non-fatal heart attacks", US_national_yearly!$D:$AM, 10, FALSE), 1)</f>
        <v>2.4922158260371255E-5</v>
      </c>
      <c r="N13" s="7">
        <f>$B13 * IFERROR(VLOOKUP("LULUCF|PM25|Non-fatal heart attacks", US_national_yearly!$D:$AM, 22, FALSE) / VLOOKUP("LULUCF|PM25|Non-fatal heart attacks", US_national_yearly!$D:$AM, 10, FALSE), 1)</f>
        <v>2.5198553564651317E-5</v>
      </c>
      <c r="O13" s="7">
        <f>$B13 * IFERROR(VLOOKUP("LULUCF|PM25|Non-fatal heart attacks", US_national_yearly!$D:$AM, 23, FALSE) / VLOOKUP("LULUCF|PM25|Non-fatal heart attacks", US_national_yearly!$D:$AM, 10, FALSE), 1)</f>
        <v>2.5474948868931385E-5</v>
      </c>
      <c r="P13" s="7">
        <f>$B13 * IFERROR(VLOOKUP("LULUCF|PM25|Non-fatal heart attacks", US_national_yearly!$D:$AM, 24, FALSE) / VLOOKUP("LULUCF|PM25|Non-fatal heart attacks", US_national_yearly!$D:$AM, 10, FALSE), 1)</f>
        <v>2.5751344173211454E-5</v>
      </c>
      <c r="Q13" s="7">
        <f>$B13 * IFERROR(VLOOKUP("LULUCF|PM25|Non-fatal heart attacks", US_national_yearly!$D:$AM, 25, FALSE) / VLOOKUP("LULUCF|PM25|Non-fatal heart attacks", US_national_yearly!$D:$AM, 10, FALSE), 1)</f>
        <v>2.6027739477491515E-5</v>
      </c>
      <c r="R13" s="7">
        <f>$B13 * IFERROR(VLOOKUP("LULUCF|PM25|Non-fatal heart attacks", US_national_yearly!$D:$AM, 26, FALSE) / VLOOKUP("LULUCF|PM25|Non-fatal heart attacks", US_national_yearly!$D:$AM, 10, FALSE), 1)</f>
        <v>2.6304134781771584E-5</v>
      </c>
      <c r="S13" s="7">
        <f>$B13 * IFERROR(VLOOKUP("LULUCF|PM25|Non-fatal heart attacks", US_national_yearly!$D:$AM, 27, FALSE) / VLOOKUP("LULUCF|PM25|Non-fatal heart attacks", US_national_yearly!$D:$AM, 10, FALSE), 1)</f>
        <v>2.6449692445559042E-5</v>
      </c>
      <c r="T13" s="7">
        <f>$B13 * IFERROR(VLOOKUP("LULUCF|PM25|Non-fatal heart attacks", US_national_yearly!$D:$AM, 28, FALSE) / VLOOKUP("LULUCF|PM25|Non-fatal heart attacks", US_national_yearly!$D:$AM, 10, FALSE), 1)</f>
        <v>2.6595250109346511E-5</v>
      </c>
      <c r="U13" s="7">
        <f>$B13 * IFERROR(VLOOKUP("LULUCF|PM25|Non-fatal heart attacks", US_national_yearly!$D:$AM, 29, FALSE) / VLOOKUP("LULUCF|PM25|Non-fatal heart attacks", US_national_yearly!$D:$AM, 10, FALSE), 1)</f>
        <v>2.674080777313398E-5</v>
      </c>
      <c r="V13" s="7">
        <f>$B13 * IFERROR(VLOOKUP("LULUCF|PM25|Non-fatal heart attacks", US_national_yearly!$D:$AM, 30, FALSE) / VLOOKUP("LULUCF|PM25|Non-fatal heart attacks", US_national_yearly!$D:$AM, 10, FALSE), 1)</f>
        <v>2.6886365436921446E-5</v>
      </c>
      <c r="W13" s="7">
        <f>$B13 * IFERROR(VLOOKUP("LULUCF|PM25|Non-fatal heart attacks", US_national_yearly!$D:$AM, 31, FALSE) / VLOOKUP("LULUCF|PM25|Non-fatal heart attacks", US_national_yearly!$D:$AM, 10, FALSE), 1)</f>
        <v>2.7031923100708911E-5</v>
      </c>
      <c r="X13" s="7">
        <f>$B13 * IFERROR(VLOOKUP("LULUCF|PM25|Non-fatal heart attacks", US_national_yearly!$D:$AM, 32, FALSE) / VLOOKUP("LULUCF|PM25|Non-fatal heart attacks", US_national_yearly!$D:$AM, 10, FALSE), 1)</f>
        <v>2.7142422414729218E-5</v>
      </c>
      <c r="Y13" s="7">
        <f>$B13 * IFERROR(VLOOKUP("LULUCF|PM25|Non-fatal heart attacks", US_national_yearly!$D:$AM, 33, FALSE) / VLOOKUP("LULUCF|PM25|Non-fatal heart attacks", US_national_yearly!$D:$AM, 10, FALSE), 1)</f>
        <v>2.7252921728749528E-5</v>
      </c>
      <c r="Z13" s="7">
        <f>$B13 * IFERROR(VLOOKUP("LULUCF|PM25|Non-fatal heart attacks", US_national_yearly!$D:$AM, 34, FALSE) / VLOOKUP("LULUCF|PM25|Non-fatal heart attacks", US_national_yearly!$D:$AM, 10, FALSE), 1)</f>
        <v>2.7363421042769838E-5</v>
      </c>
      <c r="AA13" s="7">
        <f>$B13 * IFERROR(VLOOKUP("LULUCF|PM25|Non-fatal heart attacks", US_national_yearly!$D:$AM, 35, FALSE) / VLOOKUP("LULUCF|PM25|Non-fatal heart attacks", US_national_yearly!$D:$AM, 10, FALSE), 1)</f>
        <v>2.7473920356790148E-5</v>
      </c>
      <c r="AB13" s="7">
        <f>$B13 * IFERROR(VLOOKUP("LULUCF|PM25|Non-fatal heart attacks", US_national_yearly!$D:$AM, 36, FALSE) / VLOOKUP("LULUCF|PM25|Non-fatal heart attacks", US_national_yearly!$D:$AM, 10, FALSE), 1)</f>
        <v>2.7584419670810455E-5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1.6594577148079496E-2</v>
      </c>
      <c r="C14" s="7">
        <f>$B14 * IFERROR(VLOOKUP("LULUCF|PM25|Minor restricted activity days", US_national_yearly!$D:$AM, 11, FALSE) / VLOOKUP("LULUCF|PM25|Minor restricted activity days", US_national_yearly!$D:$AM, 10, FALSE), 1)</f>
        <v>1.6635103073440675E-2</v>
      </c>
      <c r="D14" s="7">
        <f>$B14 * IFERROR(VLOOKUP("LULUCF|PM25|Minor restricted activity days", US_national_yearly!$D:$AM, 12, FALSE) / VLOOKUP("LULUCF|PM25|Minor restricted activity days", US_national_yearly!$D:$AM, 10, FALSE), 1)</f>
        <v>1.6675628998801859E-2</v>
      </c>
      <c r="E14" s="7">
        <f>$B14 * IFERROR(VLOOKUP("LULUCF|PM25|Minor restricted activity days", US_national_yearly!$D:$AM, 13, FALSE) / VLOOKUP("LULUCF|PM25|Minor restricted activity days", US_national_yearly!$D:$AM, 10, FALSE), 1)</f>
        <v>1.6716154924163042E-2</v>
      </c>
      <c r="F14" s="7">
        <f>$B14 * IFERROR(VLOOKUP("LULUCF|PM25|Minor restricted activity days", US_national_yearly!$D:$AM, 14, FALSE) / VLOOKUP("LULUCF|PM25|Minor restricted activity days", US_national_yearly!$D:$AM, 10, FALSE), 1)</f>
        <v>1.6756680849524221E-2</v>
      </c>
      <c r="G14" s="7">
        <f>$B14 * IFERROR(VLOOKUP("LULUCF|PM25|Minor restricted activity days", US_national_yearly!$D:$AM, 15, FALSE) / VLOOKUP("LULUCF|PM25|Minor restricted activity days", US_national_yearly!$D:$AM, 10, FALSE), 1)</f>
        <v>1.6816475639558799E-2</v>
      </c>
      <c r="H14" s="7">
        <f>$B14 * IFERROR(VLOOKUP("LULUCF|PM25|Minor restricted activity days", US_national_yearly!$D:$AM, 16, FALSE) / VLOOKUP("LULUCF|PM25|Minor restricted activity days", US_national_yearly!$D:$AM, 10, FALSE), 1)</f>
        <v>1.6876270429593377E-2</v>
      </c>
      <c r="I14" s="7">
        <f>$B14 * IFERROR(VLOOKUP("LULUCF|PM25|Minor restricted activity days", US_national_yearly!$D:$AM, 17, FALSE) / VLOOKUP("LULUCF|PM25|Minor restricted activity days", US_national_yearly!$D:$AM, 10, FALSE), 1)</f>
        <v>1.697849213877398E-2</v>
      </c>
      <c r="J14" s="7">
        <f>$B14 * IFERROR(VLOOKUP("LULUCF|PM25|Minor restricted activity days", US_national_yearly!$D:$AM, 18, FALSE) / VLOOKUP("LULUCF|PM25|Minor restricted activity days", US_national_yearly!$D:$AM, 10, FALSE), 1)</f>
        <v>1.7080713847954575E-2</v>
      </c>
      <c r="K14" s="7">
        <f>$B14 * IFERROR(VLOOKUP("LULUCF|PM25|Minor restricted activity days", US_national_yearly!$D:$AM, 19, FALSE) / VLOOKUP("LULUCF|PM25|Minor restricted activity days", US_national_yearly!$D:$AM, 10, FALSE), 1)</f>
        <v>1.7182935557135178E-2</v>
      </c>
      <c r="L14" s="7">
        <f>$B14 * IFERROR(VLOOKUP("LULUCF|PM25|Minor restricted activity days", US_national_yearly!$D:$AM, 20, FALSE) / VLOOKUP("LULUCF|PM25|Minor restricted activity days", US_national_yearly!$D:$AM, 10, FALSE), 1)</f>
        <v>1.7285157266315781E-2</v>
      </c>
      <c r="M14" s="7">
        <f>$B14 * IFERROR(VLOOKUP("LULUCF|PM25|Minor restricted activity days", US_national_yearly!$D:$AM, 21, FALSE) / VLOOKUP("LULUCF|PM25|Minor restricted activity days", US_national_yearly!$D:$AM, 10, FALSE), 1)</f>
        <v>1.738737897549638E-2</v>
      </c>
      <c r="N14" s="7">
        <f>$B14 * IFERROR(VLOOKUP("LULUCF|PM25|Minor restricted activity days", US_national_yearly!$D:$AM, 22, FALSE) / VLOOKUP("LULUCF|PM25|Minor restricted activity days", US_national_yearly!$D:$AM, 10, FALSE), 1)</f>
        <v>1.752662529570646E-2</v>
      </c>
      <c r="O14" s="7">
        <f>$B14 * IFERROR(VLOOKUP("LULUCF|PM25|Minor restricted activity days", US_national_yearly!$D:$AM, 23, FALSE) / VLOOKUP("LULUCF|PM25|Minor restricted activity days", US_national_yearly!$D:$AM, 10, FALSE), 1)</f>
        <v>1.766587161591654E-2</v>
      </c>
      <c r="P14" s="7">
        <f>$B14 * IFERROR(VLOOKUP("LULUCF|PM25|Minor restricted activity days", US_national_yearly!$D:$AM, 24, FALSE) / VLOOKUP("LULUCF|PM25|Minor restricted activity days", US_national_yearly!$D:$AM, 10, FALSE), 1)</f>
        <v>1.7805117936126619E-2</v>
      </c>
      <c r="Q14" s="7">
        <f>$B14 * IFERROR(VLOOKUP("LULUCF|PM25|Minor restricted activity days", US_national_yearly!$D:$AM, 25, FALSE) / VLOOKUP("LULUCF|PM25|Minor restricted activity days", US_national_yearly!$D:$AM, 10, FALSE), 1)</f>
        <v>1.7944364256336696E-2</v>
      </c>
      <c r="R14" s="7">
        <f>$B14 * IFERROR(VLOOKUP("LULUCF|PM25|Minor restricted activity days", US_national_yearly!$D:$AM, 26, FALSE) / VLOOKUP("LULUCF|PM25|Minor restricted activity days", US_national_yearly!$D:$AM, 10, FALSE), 1)</f>
        <v>1.8083610576546776E-2</v>
      </c>
      <c r="S14" s="7">
        <f>$B14 * IFERROR(VLOOKUP("LULUCF|PM25|Minor restricted activity days", US_national_yearly!$D:$AM, 27, FALSE) / VLOOKUP("LULUCF|PM25|Minor restricted activity days", US_national_yearly!$D:$AM, 10, FALSE), 1)</f>
        <v>1.8223815840535989E-2</v>
      </c>
      <c r="T14" s="7">
        <f>$B14 * IFERROR(VLOOKUP("LULUCF|PM25|Minor restricted activity days", US_national_yearly!$D:$AM, 28, FALSE) / VLOOKUP("LULUCF|PM25|Minor restricted activity days", US_national_yearly!$D:$AM, 10, FALSE), 1)</f>
        <v>1.8364021104525206E-2</v>
      </c>
      <c r="U14" s="7">
        <f>$B14 * IFERROR(VLOOKUP("LULUCF|PM25|Minor restricted activity days", US_national_yearly!$D:$AM, 29, FALSE) / VLOOKUP("LULUCF|PM25|Minor restricted activity days", US_national_yearly!$D:$AM, 10, FALSE), 1)</f>
        <v>1.8504226368514422E-2</v>
      </c>
      <c r="V14" s="7">
        <f>$B14 * IFERROR(VLOOKUP("LULUCF|PM25|Minor restricted activity days", US_national_yearly!$D:$AM, 30, FALSE) / VLOOKUP("LULUCF|PM25|Minor restricted activity days", US_national_yearly!$D:$AM, 10, FALSE), 1)</f>
        <v>1.8644431632503639E-2</v>
      </c>
      <c r="W14" s="7">
        <f>$B14 * IFERROR(VLOOKUP("LULUCF|PM25|Minor restricted activity days", US_national_yearly!$D:$AM, 31, FALSE) / VLOOKUP("LULUCF|PM25|Minor restricted activity days", US_national_yearly!$D:$AM, 10, FALSE), 1)</f>
        <v>1.8784636896492853E-2</v>
      </c>
      <c r="X14" s="7">
        <f>$B14 * IFERROR(VLOOKUP("LULUCF|PM25|Minor restricted activity days", US_national_yearly!$D:$AM, 32, FALSE) / VLOOKUP("LULUCF|PM25|Minor restricted activity days", US_national_yearly!$D:$AM, 10, FALSE), 1)</f>
        <v>1.8906349170553415E-2</v>
      </c>
      <c r="Y14" s="7">
        <f>$B14 * IFERROR(VLOOKUP("LULUCF|PM25|Minor restricted activity days", US_national_yearly!$D:$AM, 33, FALSE) / VLOOKUP("LULUCF|PM25|Minor restricted activity days", US_national_yearly!$D:$AM, 10, FALSE), 1)</f>
        <v>1.9028061444613973E-2</v>
      </c>
      <c r="Z14" s="7">
        <f>$B14 * IFERROR(VLOOKUP("LULUCF|PM25|Minor restricted activity days", US_national_yearly!$D:$AM, 34, FALSE) / VLOOKUP("LULUCF|PM25|Minor restricted activity days", US_national_yearly!$D:$AM, 10, FALSE), 1)</f>
        <v>1.9149773718674531E-2</v>
      </c>
      <c r="AA14" s="7">
        <f>$B14 * IFERROR(VLOOKUP("LULUCF|PM25|Minor restricted activity days", US_national_yearly!$D:$AM, 35, FALSE) / VLOOKUP("LULUCF|PM25|Minor restricted activity days", US_national_yearly!$D:$AM, 10, FALSE), 1)</f>
        <v>1.9271485992735087E-2</v>
      </c>
      <c r="AB14" s="7">
        <f>$B14 * IFERROR(VLOOKUP("LULUCF|PM25|Minor restricted activity days", US_national_yearly!$D:$AM, 36, FALSE) / VLOOKUP("LULUCF|PM25|Minor restricted activity days", US_national_yearly!$D:$AM, 10, FALSE), 1)</f>
        <v>1.9393198266795645E-2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2.813677963551098E-3</v>
      </c>
      <c r="C15" s="7">
        <f>$B15 * IFERROR(VLOOKUP("LULUCF|PM25|Work loss days", US_national_yearly!$D:$AM, 11, FALSE) / VLOOKUP("LULUCF|PM25|Work loss days", US_national_yearly!$D:$AM, 10, FALSE), 1)</f>
        <v>2.8223993518334766E-3</v>
      </c>
      <c r="D15" s="7">
        <f>$B15 * IFERROR(VLOOKUP("LULUCF|PM25|Work loss days", US_national_yearly!$D:$AM, 12, FALSE) / VLOOKUP("LULUCF|PM25|Work loss days", US_national_yearly!$D:$AM, 10, FALSE), 1)</f>
        <v>2.8311207401158557E-3</v>
      </c>
      <c r="E15" s="7">
        <f>$B15 * IFERROR(VLOOKUP("LULUCF|PM25|Work loss days", US_national_yearly!$D:$AM, 13, FALSE) / VLOOKUP("LULUCF|PM25|Work loss days", US_national_yearly!$D:$AM, 10, FALSE), 1)</f>
        <v>2.8398421283982343E-3</v>
      </c>
      <c r="F15" s="7">
        <f>$B15 * IFERROR(VLOOKUP("LULUCF|PM25|Work loss days", US_national_yearly!$D:$AM, 14, FALSE) / VLOOKUP("LULUCF|PM25|Work loss days", US_national_yearly!$D:$AM, 10, FALSE), 1)</f>
        <v>2.8485635166806125E-3</v>
      </c>
      <c r="G15" s="7">
        <f>$B15 * IFERROR(VLOOKUP("LULUCF|PM25|Work loss days", US_national_yearly!$D:$AM, 15, FALSE) / VLOOKUP("LULUCF|PM25|Work loss days", US_national_yearly!$D:$AM, 10, FALSE), 1)</f>
        <v>2.8599978132389618E-3</v>
      </c>
      <c r="H15" s="7">
        <f>$B15 * IFERROR(VLOOKUP("LULUCF|PM25|Work loss days", US_national_yearly!$D:$AM, 16, FALSE) / VLOOKUP("LULUCF|PM25|Work loss days", US_national_yearly!$D:$AM, 10, FALSE), 1)</f>
        <v>2.871432109797312E-3</v>
      </c>
      <c r="I15" s="7">
        <f>$B15 * IFERROR(VLOOKUP("LULUCF|PM25|Work loss days", US_national_yearly!$D:$AM, 17, FALSE) / VLOOKUP("LULUCF|PM25|Work loss days", US_national_yearly!$D:$AM, 10, FALSE), 1)</f>
        <v>2.8882703690795352E-3</v>
      </c>
      <c r="J15" s="7">
        <f>$B15 * IFERROR(VLOOKUP("LULUCF|PM25|Work loss days", US_national_yearly!$D:$AM, 18, FALSE) / VLOOKUP("LULUCF|PM25|Work loss days", US_national_yearly!$D:$AM, 10, FALSE), 1)</f>
        <v>2.9051086283617585E-3</v>
      </c>
      <c r="K15" s="7">
        <f>$B15 * IFERROR(VLOOKUP("LULUCF|PM25|Work loss days", US_national_yearly!$D:$AM, 19, FALSE) / VLOOKUP("LULUCF|PM25|Work loss days", US_national_yearly!$D:$AM, 10, FALSE), 1)</f>
        <v>2.9219468876439817E-3</v>
      </c>
      <c r="L15" s="7">
        <f>$B15 * IFERROR(VLOOKUP("LULUCF|PM25|Work loss days", US_national_yearly!$D:$AM, 20, FALSE) / VLOOKUP("LULUCF|PM25|Work loss days", US_national_yearly!$D:$AM, 10, FALSE), 1)</f>
        <v>2.9387851469262049E-3</v>
      </c>
      <c r="M15" s="7">
        <f>$B15 * IFERROR(VLOOKUP("LULUCF|PM25|Work loss days", US_national_yearly!$D:$AM, 21, FALSE) / VLOOKUP("LULUCF|PM25|Work loss days", US_national_yearly!$D:$AM, 10, FALSE), 1)</f>
        <v>2.9556234062084281E-3</v>
      </c>
      <c r="N15" s="7">
        <f>$B15 * IFERROR(VLOOKUP("LULUCF|PM25|Work loss days", US_national_yearly!$D:$AM, 22, FALSE) / VLOOKUP("LULUCF|PM25|Work loss days", US_national_yearly!$D:$AM, 10, FALSE), 1)</f>
        <v>2.9768156299827637E-3</v>
      </c>
      <c r="O15" s="7">
        <f>$B15 * IFERROR(VLOOKUP("LULUCF|PM25|Work loss days", US_national_yearly!$D:$AM, 23, FALSE) / VLOOKUP("LULUCF|PM25|Work loss days", US_national_yearly!$D:$AM, 10, FALSE), 1)</f>
        <v>2.9980078537570985E-3</v>
      </c>
      <c r="P15" s="7">
        <f>$B15 * IFERROR(VLOOKUP("LULUCF|PM25|Work loss days", US_national_yearly!$D:$AM, 24, FALSE) / VLOOKUP("LULUCF|PM25|Work loss days", US_national_yearly!$D:$AM, 10, FALSE), 1)</f>
        <v>3.0192000775314336E-3</v>
      </c>
      <c r="Q15" s="7">
        <f>$B15 * IFERROR(VLOOKUP("LULUCF|PM25|Work loss days", US_national_yearly!$D:$AM, 25, FALSE) / VLOOKUP("LULUCF|PM25|Work loss days", US_national_yearly!$D:$AM, 10, FALSE), 1)</f>
        <v>3.0403923013057684E-3</v>
      </c>
      <c r="R15" s="7">
        <f>$B15 * IFERROR(VLOOKUP("LULUCF|PM25|Work loss days", US_national_yearly!$D:$AM, 26, FALSE) / VLOOKUP("LULUCF|PM25|Work loss days", US_national_yearly!$D:$AM, 10, FALSE), 1)</f>
        <v>3.061584525080104E-3</v>
      </c>
      <c r="S15" s="7">
        <f>$B15 * IFERROR(VLOOKUP("LULUCF|PM25|Work loss days", US_national_yearly!$D:$AM, 27, FALSE) / VLOOKUP("LULUCF|PM25|Work loss days", US_national_yearly!$D:$AM, 10, FALSE), 1)</f>
        <v>3.0850240293437301E-3</v>
      </c>
      <c r="T15" s="7">
        <f>$B15 * IFERROR(VLOOKUP("LULUCF|PM25|Work loss days", US_national_yearly!$D:$AM, 28, FALSE) / VLOOKUP("LULUCF|PM25|Work loss days", US_national_yearly!$D:$AM, 10, FALSE), 1)</f>
        <v>3.1084635336073572E-3</v>
      </c>
      <c r="U15" s="7">
        <f>$B15 * IFERROR(VLOOKUP("LULUCF|PM25|Work loss days", US_national_yearly!$D:$AM, 29, FALSE) / VLOOKUP("LULUCF|PM25|Work loss days", US_national_yearly!$D:$AM, 10, FALSE), 1)</f>
        <v>3.1319030378709825E-3</v>
      </c>
      <c r="V15" s="7">
        <f>$B15 * IFERROR(VLOOKUP("LULUCF|PM25|Work loss days", US_national_yearly!$D:$AM, 30, FALSE) / VLOOKUP("LULUCF|PM25|Work loss days", US_national_yearly!$D:$AM, 10, FALSE), 1)</f>
        <v>3.1553425421346096E-3</v>
      </c>
      <c r="W15" s="7">
        <f>$B15 * IFERROR(VLOOKUP("LULUCF|PM25|Work loss days", US_national_yearly!$D:$AM, 31, FALSE) / VLOOKUP("LULUCF|PM25|Work loss days", US_national_yearly!$D:$AM, 10, FALSE), 1)</f>
        <v>3.1787820463982357E-3</v>
      </c>
      <c r="X15" s="7">
        <f>$B15 * IFERROR(VLOOKUP("LULUCF|PM25|Work loss days", US_national_yearly!$D:$AM, 32, FALSE) / VLOOKUP("LULUCF|PM25|Work loss days", US_national_yearly!$D:$AM, 10, FALSE), 1)</f>
        <v>3.1995792083992793E-3</v>
      </c>
      <c r="Y15" s="7">
        <f>$B15 * IFERROR(VLOOKUP("LULUCF|PM25|Work loss days", US_national_yearly!$D:$AM, 33, FALSE) / VLOOKUP("LULUCF|PM25|Work loss days", US_national_yearly!$D:$AM, 10, FALSE), 1)</f>
        <v>3.2203763704003224E-3</v>
      </c>
      <c r="Z15" s="7">
        <f>$B15 * IFERROR(VLOOKUP("LULUCF|PM25|Work loss days", US_national_yearly!$D:$AM, 34, FALSE) / VLOOKUP("LULUCF|PM25|Work loss days", US_national_yearly!$D:$AM, 10, FALSE), 1)</f>
        <v>3.2411735324013665E-3</v>
      </c>
      <c r="AA15" s="7">
        <f>$B15 * IFERROR(VLOOKUP("LULUCF|PM25|Work loss days", US_national_yearly!$D:$AM, 35, FALSE) / VLOOKUP("LULUCF|PM25|Work loss days", US_national_yearly!$D:$AM, 10, FALSE), 1)</f>
        <v>3.2619706944024105E-3</v>
      </c>
      <c r="AB15" s="7">
        <f>$B15 * IFERROR(VLOOKUP("LULUCF|PM25|Work loss days", US_national_yearly!$D:$AM, 36, FALSE) / VLOOKUP("LULUCF|PM25|Work loss days", US_national_yearly!$D:$AM, 10, FALSE), 1)</f>
        <v>3.282767856403454E-3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4.5667496114789119E-6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4.703207274341384E-6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4.8396649372038569E-6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4.9761226000663298E-6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5.1125802629288027E-6</v>
      </c>
      <c r="G17" s="7">
        <f>$B17 * IFERROR(VLOOKUP("LULUCF|PM25|Cardiovascular hospital admissions", US_national_yearly!$D:$AM, 15, FALSE) / VLOOKUP("LULUCF|PM25|Cardiovascular hospital admissions", US_national_yearly!$D:$AM, 10, FALSE), 1)</f>
        <v>5.2432823289621512E-6</v>
      </c>
      <c r="H17" s="7">
        <f>$B17 * IFERROR(VLOOKUP("LULUCF|PM25|Cardiovascular hospital admissions", US_national_yearly!$D:$AM, 16, FALSE) / VLOOKUP("LULUCF|PM25|Cardiovascular hospital admissions", US_national_yearly!$D:$AM, 10, FALSE), 1)</f>
        <v>5.3739843949955014E-6</v>
      </c>
      <c r="I17" s="7">
        <f>$B17 * IFERROR(VLOOKUP("LULUCF|PM25|Cardiovascular hospital admissions", US_national_yearly!$D:$AM, 17, FALSE) / VLOOKUP("LULUCF|PM25|Cardiovascular hospital admissions", US_national_yearly!$D:$AM, 10, FALSE), 1)</f>
        <v>5.4857679776983052E-6</v>
      </c>
      <c r="J17" s="7">
        <f>$B17 * IFERROR(VLOOKUP("LULUCF|PM25|Cardiovascular hospital admissions", US_national_yearly!$D:$AM, 18, FALSE) / VLOOKUP("LULUCF|PM25|Cardiovascular hospital admissions", US_national_yearly!$D:$AM, 10, FALSE), 1)</f>
        <v>5.5975515604011074E-6</v>
      </c>
      <c r="K17" s="7">
        <f>$B17 * IFERROR(VLOOKUP("LULUCF|PM25|Cardiovascular hospital admissions", US_national_yearly!$D:$AM, 19, FALSE) / VLOOKUP("LULUCF|PM25|Cardiovascular hospital admissions", US_national_yearly!$D:$AM, 10, FALSE), 1)</f>
        <v>5.7093351431039096E-6</v>
      </c>
      <c r="L17" s="7">
        <f>$B17 * IFERROR(VLOOKUP("LULUCF|PM25|Cardiovascular hospital admissions", US_national_yearly!$D:$AM, 20, FALSE) / VLOOKUP("LULUCF|PM25|Cardiovascular hospital admissions", US_national_yearly!$D:$AM, 10, FALSE), 1)</f>
        <v>5.8211187258067134E-6</v>
      </c>
      <c r="M17" s="7">
        <f>$B17 * IFERROR(VLOOKUP("LULUCF|PM25|Cardiovascular hospital admissions", US_national_yearly!$D:$AM, 21, FALSE) / VLOOKUP("LULUCF|PM25|Cardiovascular hospital admissions", US_national_yearly!$D:$AM, 10, FALSE), 1)</f>
        <v>5.9329023085095156E-6</v>
      </c>
      <c r="N17" s="7">
        <f>$B17 * IFERROR(VLOOKUP("LULUCF|PM25|Cardiovascular hospital admissions", US_national_yearly!$D:$AM, 22, FALSE) / VLOOKUP("LULUCF|PM25|Cardiovascular hospital admissions", US_national_yearly!$D:$AM, 10, FALSE), 1)</f>
        <v>6.0074309752656893E-6</v>
      </c>
      <c r="O17" s="7">
        <f>$B17 * IFERROR(VLOOKUP("LULUCF|PM25|Cardiovascular hospital admissions", US_national_yearly!$D:$AM, 23, FALSE) / VLOOKUP("LULUCF|PM25|Cardiovascular hospital admissions", US_national_yearly!$D:$AM, 10, FALSE), 1)</f>
        <v>6.0819596420218639E-6</v>
      </c>
      <c r="P17" s="7">
        <f>$B17 * IFERROR(VLOOKUP("LULUCF|PM25|Cardiovascular hospital admissions", US_national_yearly!$D:$AM, 24, FALSE) / VLOOKUP("LULUCF|PM25|Cardiovascular hospital admissions", US_national_yearly!$D:$AM, 10, FALSE), 1)</f>
        <v>6.1564883087780368E-6</v>
      </c>
      <c r="Q17" s="7">
        <f>$B17 * IFERROR(VLOOKUP("LULUCF|PM25|Cardiovascular hospital admissions", US_national_yearly!$D:$AM, 25, FALSE) / VLOOKUP("LULUCF|PM25|Cardiovascular hospital admissions", US_national_yearly!$D:$AM, 10, FALSE), 1)</f>
        <v>6.2310169755342114E-6</v>
      </c>
      <c r="R17" s="7">
        <f>$B17 * IFERROR(VLOOKUP("LULUCF|PM25|Cardiovascular hospital admissions", US_national_yearly!$D:$AM, 26, FALSE) / VLOOKUP("LULUCF|PM25|Cardiovascular hospital admissions", US_national_yearly!$D:$AM, 10, FALSE), 1)</f>
        <v>6.3055456422903851E-6</v>
      </c>
      <c r="S17" s="7">
        <f>$B17 * IFERROR(VLOOKUP("LULUCF|PM25|Cardiovascular hospital admissions", US_national_yearly!$D:$AM, 27, FALSE) / VLOOKUP("LULUCF|PM25|Cardiovascular hospital admissions", US_national_yearly!$D:$AM, 10, FALSE), 1)</f>
        <v>6.3449782650803814E-6</v>
      </c>
      <c r="T17" s="7">
        <f>$B17 * IFERROR(VLOOKUP("LULUCF|PM25|Cardiovascular hospital admissions", US_national_yearly!$D:$AM, 28, FALSE) / VLOOKUP("LULUCF|PM25|Cardiovascular hospital admissions", US_national_yearly!$D:$AM, 10, FALSE), 1)</f>
        <v>6.3844108878703776E-6</v>
      </c>
      <c r="U17" s="7">
        <f>$B17 * IFERROR(VLOOKUP("LULUCF|PM25|Cardiovascular hospital admissions", US_national_yearly!$D:$AM, 29, FALSE) / VLOOKUP("LULUCF|PM25|Cardiovascular hospital admissions", US_national_yearly!$D:$AM, 10, FALSE), 1)</f>
        <v>6.4238435106603722E-6</v>
      </c>
      <c r="V17" s="7">
        <f>$B17 * IFERROR(VLOOKUP("LULUCF|PM25|Cardiovascular hospital admissions", US_national_yearly!$D:$AM, 30, FALSE) / VLOOKUP("LULUCF|PM25|Cardiovascular hospital admissions", US_national_yearly!$D:$AM, 10, FALSE), 1)</f>
        <v>6.4632761334503676E-6</v>
      </c>
      <c r="W17" s="7">
        <f>$B17 * IFERROR(VLOOKUP("LULUCF|PM25|Cardiovascular hospital admissions", US_national_yearly!$D:$AM, 31, FALSE) / VLOOKUP("LULUCF|PM25|Cardiovascular hospital admissions", US_national_yearly!$D:$AM, 10, FALSE), 1)</f>
        <v>6.5027087562403638E-6</v>
      </c>
      <c r="X17" s="7">
        <f>$B17 * IFERROR(VLOOKUP("LULUCF|PM25|Cardiovascular hospital admissions", US_national_yearly!$D:$AM, 32, FALSE) / VLOOKUP("LULUCF|PM25|Cardiovascular hospital admissions", US_national_yearly!$D:$AM, 10, FALSE), 1)</f>
        <v>6.5292553165981302E-6</v>
      </c>
      <c r="Y17" s="7">
        <f>$B17 * IFERROR(VLOOKUP("LULUCF|PM25|Cardiovascular hospital admissions", US_national_yearly!$D:$AM, 33, FALSE) / VLOOKUP("LULUCF|PM25|Cardiovascular hospital admissions", US_national_yearly!$D:$AM, 10, FALSE), 1)</f>
        <v>6.5558018769558974E-6</v>
      </c>
      <c r="Z17" s="7">
        <f>$B17 * IFERROR(VLOOKUP("LULUCF|PM25|Cardiovascular hospital admissions", US_national_yearly!$D:$AM, 34, FALSE) / VLOOKUP("LULUCF|PM25|Cardiovascular hospital admissions", US_national_yearly!$D:$AM, 10, FALSE), 1)</f>
        <v>6.5823484373136647E-6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6.6088949976714319E-6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6.6354415580291991E-6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5.1488380735345695E-5</v>
      </c>
      <c r="C2" s="7">
        <f>$B2 * IFERROR(VLOOKUP("LULUCF|NOx|Premature mortality", US_national_yearly!$D:$AM, 11, FALSE) / VLOOKUP("LULUCF|NOx|Premature mortality", US_national_yearly!$D:$AM, 10, FALSE), 1)</f>
        <v>5.2244658019943875E-5</v>
      </c>
      <c r="D2" s="7">
        <f>$B2 * IFERROR(VLOOKUP("LULUCF|NOx|Premature mortality", US_national_yearly!$D:$AM, 12, FALSE) / VLOOKUP("LULUCF|NOx|Premature mortality", US_national_yearly!$D:$AM, 10, FALSE), 1)</f>
        <v>5.3000935304542041E-5</v>
      </c>
      <c r="E2" s="7">
        <f>$B2 * IFERROR(VLOOKUP("LULUCF|NOx|Premature mortality", US_national_yearly!$D:$AM, 13, FALSE) / VLOOKUP("LULUCF|NOx|Premature mortality", US_national_yearly!$D:$AM, 10, FALSE), 1)</f>
        <v>5.3757212589140221E-5</v>
      </c>
      <c r="F2" s="7">
        <f>$B2 * IFERROR(VLOOKUP("LULUCF|NOx|Premature mortality", US_national_yearly!$D:$AM, 14, FALSE) / VLOOKUP("LULUCF|NOx|Premature mortality", US_national_yearly!$D:$AM, 10, FALSE), 1)</f>
        <v>5.4513489873738401E-5</v>
      </c>
      <c r="G2" s="7">
        <f>$B2 * IFERROR(VLOOKUP("LULUCF|NOx|Premature mortality", US_national_yearly!$D:$AM, 15, FALSE) / VLOOKUP("LULUCF|NOx|Premature mortality", US_national_yearly!$D:$AM, 10, FALSE), 1)</f>
        <v>5.587194267913198E-5</v>
      </c>
      <c r="H2" s="7">
        <f>$B2 * IFERROR(VLOOKUP("LULUCF|NOx|Premature mortality", US_national_yearly!$D:$AM, 16, FALSE) / VLOOKUP("LULUCF|NOx|Premature mortality", US_national_yearly!$D:$AM, 10, FALSE), 1)</f>
        <v>5.7230395484525587E-5</v>
      </c>
      <c r="I2" s="7">
        <f>$B2 * IFERROR(VLOOKUP("LULUCF|NOx|Premature mortality", US_national_yearly!$D:$AM, 17, FALSE) / VLOOKUP("LULUCF|NOx|Premature mortality", US_national_yearly!$D:$AM, 10, FALSE), 1)</f>
        <v>5.8107302538402572E-5</v>
      </c>
      <c r="J2" s="7">
        <f>$B2 * IFERROR(VLOOKUP("LULUCF|NOx|Premature mortality", US_national_yearly!$D:$AM, 18, FALSE) / VLOOKUP("LULUCF|NOx|Premature mortality", US_national_yearly!$D:$AM, 10, FALSE), 1)</f>
        <v>5.898420959227957E-5</v>
      </c>
      <c r="K2" s="7">
        <f>$B2 * IFERROR(VLOOKUP("LULUCF|NOx|Premature mortality", US_national_yearly!$D:$AM, 19, FALSE) / VLOOKUP("LULUCF|NOx|Premature mortality", US_national_yearly!$D:$AM, 10, FALSE), 1)</f>
        <v>5.9861116646156548E-5</v>
      </c>
      <c r="L2" s="7">
        <f>$B2 * IFERROR(VLOOKUP("LULUCF|NOx|Premature mortality", US_national_yearly!$D:$AM, 20, FALSE) / VLOOKUP("LULUCF|NOx|Premature mortality", US_national_yearly!$D:$AM, 10, FALSE), 1)</f>
        <v>6.0738023700033533E-5</v>
      </c>
      <c r="M2" s="7">
        <f>$B2 * IFERROR(VLOOKUP("LULUCF|NOx|Premature mortality", US_national_yearly!$D:$AM, 21, FALSE) / VLOOKUP("LULUCF|NOx|Premature mortality", US_national_yearly!$D:$AM, 10, FALSE), 1)</f>
        <v>6.1614930753910532E-5</v>
      </c>
      <c r="N2" s="7">
        <f>$B2 * IFERROR(VLOOKUP("LULUCF|NOx|Premature mortality", US_national_yearly!$D:$AM, 22, FALSE) / VLOOKUP("LULUCF|NOx|Premature mortality", US_national_yearly!$D:$AM, 10, FALSE), 1)</f>
        <v>6.2264540090408105E-5</v>
      </c>
      <c r="O2" s="7">
        <f>$B2 * IFERROR(VLOOKUP("LULUCF|NOx|Premature mortality", US_national_yearly!$D:$AM, 23, FALSE) / VLOOKUP("LULUCF|NOx|Premature mortality", US_national_yearly!$D:$AM, 10, FALSE), 1)</f>
        <v>6.2914149426905692E-5</v>
      </c>
      <c r="P2" s="7">
        <f>$B2 * IFERROR(VLOOKUP("LULUCF|NOx|Premature mortality", US_national_yearly!$D:$AM, 24, FALSE) / VLOOKUP("LULUCF|NOx|Premature mortality", US_national_yearly!$D:$AM, 10, FALSE), 1)</f>
        <v>6.3563758763403265E-5</v>
      </c>
      <c r="Q2" s="7">
        <f>$B2 * IFERROR(VLOOKUP("LULUCF|NOx|Premature mortality", US_national_yearly!$D:$AM, 25, FALSE) / VLOOKUP("LULUCF|NOx|Premature mortality", US_national_yearly!$D:$AM, 10, FALSE), 1)</f>
        <v>6.4213368099900865E-5</v>
      </c>
      <c r="R2" s="7">
        <f>$B2 * IFERROR(VLOOKUP("LULUCF|NOx|Premature mortality", US_national_yearly!$D:$AM, 26, FALSE) / VLOOKUP("LULUCF|NOx|Premature mortality", US_national_yearly!$D:$AM, 10, FALSE), 1)</f>
        <v>6.4862977436398438E-5</v>
      </c>
      <c r="S2" s="7">
        <f>$B2 * IFERROR(VLOOKUP("LULUCF|NOx|Premature mortality", US_national_yearly!$D:$AM, 27, FALSE) / VLOOKUP("LULUCF|NOx|Premature mortality", US_national_yearly!$D:$AM, 10, FALSE), 1)</f>
        <v>6.5158231421315679E-5</v>
      </c>
      <c r="T2" s="7">
        <f>$B2 * IFERROR(VLOOKUP("LULUCF|NOx|Premature mortality", US_national_yearly!$D:$AM, 28, FALSE) / VLOOKUP("LULUCF|NOx|Premature mortality", US_national_yearly!$D:$AM, 10, FALSE), 1)</f>
        <v>6.5453485406232934E-5</v>
      </c>
      <c r="U2" s="7">
        <f>$B2 * IFERROR(VLOOKUP("LULUCF|NOx|Premature mortality", US_national_yearly!$D:$AM, 29, FALSE) / VLOOKUP("LULUCF|NOx|Premature mortality", US_national_yearly!$D:$AM, 10, FALSE), 1)</f>
        <v>6.5748739391150162E-5</v>
      </c>
      <c r="V2" s="7">
        <f>$B2 * IFERROR(VLOOKUP("LULUCF|NOx|Premature mortality", US_national_yearly!$D:$AM, 30, FALSE) / VLOOKUP("LULUCF|NOx|Premature mortality", US_national_yearly!$D:$AM, 10, FALSE), 1)</f>
        <v>6.6043993376067403E-5</v>
      </c>
      <c r="W2" s="7">
        <f>$B2 * IFERROR(VLOOKUP("LULUCF|NOx|Premature mortality", US_national_yearly!$D:$AM, 31, FALSE) / VLOOKUP("LULUCF|NOx|Premature mortality", US_national_yearly!$D:$AM, 10, FALSE), 1)</f>
        <v>6.6339247360984644E-5</v>
      </c>
      <c r="X2" s="7">
        <f>$B2 * IFERROR(VLOOKUP("LULUCF|NOx|Premature mortality", US_national_yearly!$D:$AM, 32, FALSE) / VLOOKUP("LULUCF|NOx|Premature mortality", US_national_yearly!$D:$AM, 10, FALSE), 1)</f>
        <v>6.6349474789545039E-5</v>
      </c>
      <c r="Y2" s="7">
        <f>$B2 * IFERROR(VLOOKUP("LULUCF|NOx|Premature mortality", US_national_yearly!$D:$AM, 33, FALSE) / VLOOKUP("LULUCF|NOx|Premature mortality", US_national_yearly!$D:$AM, 10, FALSE), 1)</f>
        <v>6.6359702218105434E-5</v>
      </c>
      <c r="Z2" s="7">
        <f>$B2 * IFERROR(VLOOKUP("LULUCF|NOx|Premature mortality", US_national_yearly!$D:$AM, 34, FALSE) / VLOOKUP("LULUCF|NOx|Premature mortality", US_national_yearly!$D:$AM, 10, FALSE), 1)</f>
        <v>6.6369929646665815E-5</v>
      </c>
      <c r="AA2" s="7">
        <f>$B2 * IFERROR(VLOOKUP("LULUCF|NOx|Premature mortality", US_national_yearly!$D:$AM, 35, FALSE) / VLOOKUP("LULUCF|NOx|Premature mortality", US_national_yearly!$D:$AM, 10, FALSE), 1)</f>
        <v>6.638015707522621E-5</v>
      </c>
      <c r="AB2" s="7">
        <f>$B2 * IFERROR(VLOOKUP("LULUCF|NOx|Premature mortality", US_national_yearly!$D:$AM, 36, FALSE) / VLOOKUP("LULUCF|NOx|Premature mortality", US_national_yearly!$D:$AM, 10, FALSE), 1)</f>
        <v>6.6390384503786605E-5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1.5643746063056051E-7</v>
      </c>
      <c r="C3" s="7">
        <f>$B3 * IFERROR(VLOOKUP("LULUCF|NOx|Infant mortality", US_national_yearly!$D:$AM, 11, FALSE) / VLOOKUP("LULUCF|NOx|Infant mortality", US_national_yearly!$D:$AM, 10, FALSE), 1)</f>
        <v>1.5494699518998316E-7</v>
      </c>
      <c r="D3" s="7">
        <f>$B3 * IFERROR(VLOOKUP("LULUCF|NOx|Infant mortality", US_national_yearly!$D:$AM, 12, FALSE) / VLOOKUP("LULUCF|NOx|Infant mortality", US_national_yearly!$D:$AM, 10, FALSE), 1)</f>
        <v>1.5345652974940582E-7</v>
      </c>
      <c r="E3" s="7">
        <f>$B3 * IFERROR(VLOOKUP("LULUCF|NOx|Infant mortality", US_national_yearly!$D:$AM, 13, FALSE) / VLOOKUP("LULUCF|NOx|Infant mortality", US_national_yearly!$D:$AM, 10, FALSE), 1)</f>
        <v>1.519660643088285E-7</v>
      </c>
      <c r="F3" s="7">
        <f>$B3 * IFERROR(VLOOKUP("LULUCF|NOx|Infant mortality", US_national_yearly!$D:$AM, 14, FALSE) / VLOOKUP("LULUCF|NOx|Infant mortality", US_national_yearly!$D:$AM, 10, FALSE), 1)</f>
        <v>1.5047559886825115E-7</v>
      </c>
      <c r="G3" s="7">
        <f>$B3 * IFERROR(VLOOKUP("LULUCF|NOx|Infant mortality", US_national_yearly!$D:$AM, 15, FALSE) / VLOOKUP("LULUCF|NOx|Infant mortality", US_national_yearly!$D:$AM, 10, FALSE), 1)</f>
        <v>9.9893133161681185E-8</v>
      </c>
      <c r="H3" s="7">
        <f>$B3 * IFERROR(VLOOKUP("LULUCF|NOx|Infant mortality", US_national_yearly!$D:$AM, 16, FALSE) / VLOOKUP("LULUCF|NOx|Infant mortality", US_national_yearly!$D:$AM, 10, FALSE), 1)</f>
        <v>4.9310667455111213E-8</v>
      </c>
      <c r="I3" s="7">
        <f>$B3 * IFERROR(VLOOKUP("LULUCF|NOx|Infant mortality", US_national_yearly!$D:$AM, 17, FALSE) / VLOOKUP("LULUCF|NOx|Infant mortality", US_national_yearly!$D:$AM, 10, FALSE), 1)</f>
        <v>4.896199395418644E-8</v>
      </c>
      <c r="J3" s="7">
        <f>$B3 * IFERROR(VLOOKUP("LULUCF|NOx|Infant mortality", US_national_yearly!$D:$AM, 18, FALSE) / VLOOKUP("LULUCF|NOx|Infant mortality", US_national_yearly!$D:$AM, 10, FALSE), 1)</f>
        <v>4.8613320453261646E-8</v>
      </c>
      <c r="K3" s="7">
        <f>$B3 * IFERROR(VLOOKUP("LULUCF|NOx|Infant mortality", US_national_yearly!$D:$AM, 19, FALSE) / VLOOKUP("LULUCF|NOx|Infant mortality", US_national_yearly!$D:$AM, 10, FALSE), 1)</f>
        <v>4.8264646952336866E-8</v>
      </c>
      <c r="L3" s="7">
        <f>$B3 * IFERROR(VLOOKUP("LULUCF|NOx|Infant mortality", US_national_yearly!$D:$AM, 20, FALSE) / VLOOKUP("LULUCF|NOx|Infant mortality", US_national_yearly!$D:$AM, 10, FALSE), 1)</f>
        <v>4.7915973451412093E-8</v>
      </c>
      <c r="M3" s="7">
        <f>$B3 * IFERROR(VLOOKUP("LULUCF|NOx|Infant mortality", US_national_yearly!$D:$AM, 21, FALSE) / VLOOKUP("LULUCF|NOx|Infant mortality", US_national_yearly!$D:$AM, 10, FALSE), 1)</f>
        <v>4.7567299950487299E-8</v>
      </c>
      <c r="N3" s="7">
        <f>$B3 * IFERROR(VLOOKUP("LULUCF|NOx|Infant mortality", US_national_yearly!$D:$AM, 22, FALSE) / VLOOKUP("LULUCF|NOx|Infant mortality", US_national_yearly!$D:$AM, 10, FALSE), 1)</f>
        <v>4.7335865059478827E-8</v>
      </c>
      <c r="O3" s="7">
        <f>$B3 * IFERROR(VLOOKUP("LULUCF|NOx|Infant mortality", US_national_yearly!$D:$AM, 23, FALSE) / VLOOKUP("LULUCF|NOx|Infant mortality", US_national_yearly!$D:$AM, 10, FALSE), 1)</f>
        <v>4.7104430168470354E-8</v>
      </c>
      <c r="P3" s="7">
        <f>$B3 * IFERROR(VLOOKUP("LULUCF|NOx|Infant mortality", US_national_yearly!$D:$AM, 24, FALSE) / VLOOKUP("LULUCF|NOx|Infant mortality", US_national_yearly!$D:$AM, 10, FALSE), 1)</f>
        <v>4.6872995277461882E-8</v>
      </c>
      <c r="Q3" s="7">
        <f>$B3 * IFERROR(VLOOKUP("LULUCF|NOx|Infant mortality", US_national_yearly!$D:$AM, 25, FALSE) / VLOOKUP("LULUCF|NOx|Infant mortality", US_national_yearly!$D:$AM, 10, FALSE), 1)</f>
        <v>4.6641560386453409E-8</v>
      </c>
      <c r="R3" s="7">
        <f>$B3 * IFERROR(VLOOKUP("LULUCF|NOx|Infant mortality", US_national_yearly!$D:$AM, 26, FALSE) / VLOOKUP("LULUCF|NOx|Infant mortality", US_national_yearly!$D:$AM, 10, FALSE), 1)</f>
        <v>4.641012549544493E-8</v>
      </c>
      <c r="S3" s="7">
        <f>$B3 * IFERROR(VLOOKUP("LULUCF|NOx|Infant mortality", US_national_yearly!$D:$AM, 27, FALSE) / VLOOKUP("LULUCF|NOx|Infant mortality", US_national_yearly!$D:$AM, 10, FALSE), 1)</f>
        <v>4.6131903952790971E-8</v>
      </c>
      <c r="T3" s="7">
        <f>$B3 * IFERROR(VLOOKUP("LULUCF|NOx|Infant mortality", US_national_yearly!$D:$AM, 28, FALSE) / VLOOKUP("LULUCF|NOx|Infant mortality", US_national_yearly!$D:$AM, 10, FALSE), 1)</f>
        <v>4.5853682410137005E-8</v>
      </c>
      <c r="U3" s="7">
        <f>$B3 * IFERROR(VLOOKUP("LULUCF|NOx|Infant mortality", US_national_yearly!$D:$AM, 29, FALSE) / VLOOKUP("LULUCF|NOx|Infant mortality", US_national_yearly!$D:$AM, 10, FALSE), 1)</f>
        <v>4.557546086748304E-8</v>
      </c>
      <c r="V3" s="7">
        <f>$B3 * IFERROR(VLOOKUP("LULUCF|NOx|Infant mortality", US_national_yearly!$D:$AM, 30, FALSE) / VLOOKUP("LULUCF|NOx|Infant mortality", US_national_yearly!$D:$AM, 10, FALSE), 1)</f>
        <v>4.5297239324829074E-8</v>
      </c>
      <c r="W3" s="7">
        <f>$B3 * IFERROR(VLOOKUP("LULUCF|NOx|Infant mortality", US_national_yearly!$D:$AM, 31, FALSE) / VLOOKUP("LULUCF|NOx|Infant mortality", US_national_yearly!$D:$AM, 10, FALSE), 1)</f>
        <v>4.5019017782175108E-8</v>
      </c>
      <c r="X3" s="7">
        <f>$B3 * IFERROR(VLOOKUP("LULUCF|NOx|Infant mortality", US_national_yearly!$D:$AM, 32, FALSE) / VLOOKUP("LULUCF|NOx|Infant mortality", US_national_yearly!$D:$AM, 10, FALSE), 1)</f>
        <v>4.4724367714259889E-8</v>
      </c>
      <c r="Y3" s="7">
        <f>$B3 * IFERROR(VLOOKUP("LULUCF|NOx|Infant mortality", US_national_yearly!$D:$AM, 33, FALSE) / VLOOKUP("LULUCF|NOx|Infant mortality", US_national_yearly!$D:$AM, 10, FALSE), 1)</f>
        <v>4.4429717646344657E-8</v>
      </c>
      <c r="Z3" s="7">
        <f>$B3 * IFERROR(VLOOKUP("LULUCF|NOx|Infant mortality", US_national_yearly!$D:$AM, 34, FALSE) / VLOOKUP("LULUCF|NOx|Infant mortality", US_national_yearly!$D:$AM, 10, FALSE), 1)</f>
        <v>4.4135067578429425E-8</v>
      </c>
      <c r="AA3" s="7">
        <f>$B3 * IFERROR(VLOOKUP("LULUCF|NOx|Infant mortality", US_national_yearly!$D:$AM, 35, FALSE) / VLOOKUP("LULUCF|NOx|Infant mortality", US_national_yearly!$D:$AM, 10, FALSE), 1)</f>
        <v>4.38404175105142E-8</v>
      </c>
      <c r="AB3" s="7">
        <f>$B3 * IFERROR(VLOOKUP("LULUCF|NOx|Infant mortality", US_national_yearly!$D:$AM, 36, FALSE) / VLOOKUP("LULUCF|NOx|Infant mortality", US_national_yearly!$D:$AM, 10, FALSE), 1)</f>
        <v>4.3545767442598968E-8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1.6168344514203535E-4</v>
      </c>
      <c r="C6" s="7">
        <f>$B6 * IFERROR(VLOOKUP("LULUCF|NOx|Asthma symptoms cough", US_national_yearly!$D:$AM, 11, FALSE) / VLOOKUP("LULUCF|NOx|Asthma symptoms cough", US_national_yearly!$D:$AM, 10, FALSE), 1)</f>
        <v>1.6389392217909589E-4</v>
      </c>
      <c r="D6" s="7">
        <f>$B6 * IFERROR(VLOOKUP("LULUCF|NOx|Asthma symptoms cough", US_national_yearly!$D:$AM, 12, FALSE) / VLOOKUP("LULUCF|NOx|Asthma symptoms cough", US_national_yearly!$D:$AM, 10, FALSE), 1)</f>
        <v>1.6610439921615645E-4</v>
      </c>
      <c r="E6" s="7">
        <f>$B6 * IFERROR(VLOOKUP("LULUCF|NOx|Asthma symptoms cough", US_national_yearly!$D:$AM, 13, FALSE) / VLOOKUP("LULUCF|NOx|Asthma symptoms cough", US_national_yearly!$D:$AM, 10, FALSE), 1)</f>
        <v>1.6831487625321699E-4</v>
      </c>
      <c r="F6" s="7">
        <f>$B6 * IFERROR(VLOOKUP("LULUCF|NOx|Asthma symptoms cough", US_national_yearly!$D:$AM, 14, FALSE) / VLOOKUP("LULUCF|NOx|Asthma symptoms cough", US_national_yearly!$D:$AM, 10, FALSE), 1)</f>
        <v>1.7052535329027755E-4</v>
      </c>
      <c r="G6" s="7">
        <f>$B6 * IFERROR(VLOOKUP("LULUCF|NOx|Asthma symptoms cough", US_national_yearly!$D:$AM, 15, FALSE) / VLOOKUP("LULUCF|NOx|Asthma symptoms cough", US_national_yearly!$D:$AM, 10, FALSE), 1)</f>
        <v>1.7229011031107317E-4</v>
      </c>
      <c r="H6" s="7">
        <f>$B6 * IFERROR(VLOOKUP("LULUCF|NOx|Asthma symptoms cough", US_national_yearly!$D:$AM, 16, FALSE) / VLOOKUP("LULUCF|NOx|Asthma symptoms cough", US_national_yearly!$D:$AM, 10, FALSE), 1)</f>
        <v>1.7405486733186883E-4</v>
      </c>
      <c r="I6" s="7">
        <f>$B6 * IFERROR(VLOOKUP("LULUCF|NOx|Asthma symptoms cough", US_national_yearly!$D:$AM, 17, FALSE) / VLOOKUP("LULUCF|NOx|Asthma symptoms cough", US_national_yearly!$D:$AM, 10, FALSE), 1)</f>
        <v>1.7466227146989917E-4</v>
      </c>
      <c r="J6" s="7">
        <f>$B6 * IFERROR(VLOOKUP("LULUCF|NOx|Asthma symptoms cough", US_national_yearly!$D:$AM, 18, FALSE) / VLOOKUP("LULUCF|NOx|Asthma symptoms cough", US_national_yearly!$D:$AM, 10, FALSE), 1)</f>
        <v>1.7526967560792958E-4</v>
      </c>
      <c r="K6" s="7">
        <f>$B6 * IFERROR(VLOOKUP("LULUCF|NOx|Asthma symptoms cough", US_national_yearly!$D:$AM, 19, FALSE) / VLOOKUP("LULUCF|NOx|Asthma symptoms cough", US_national_yearly!$D:$AM, 10, FALSE), 1)</f>
        <v>1.7587707974595993E-4</v>
      </c>
      <c r="L6" s="7">
        <f>$B6 * IFERROR(VLOOKUP("LULUCF|NOx|Asthma symptoms cough", US_national_yearly!$D:$AM, 20, FALSE) / VLOOKUP("LULUCF|NOx|Asthma symptoms cough", US_national_yearly!$D:$AM, 10, FALSE), 1)</f>
        <v>1.7648448388399028E-4</v>
      </c>
      <c r="M6" s="7">
        <f>$B6 * IFERROR(VLOOKUP("LULUCF|NOx|Asthma symptoms cough", US_national_yearly!$D:$AM, 21, FALSE) / VLOOKUP("LULUCF|NOx|Asthma symptoms cough", US_national_yearly!$D:$AM, 10, FALSE), 1)</f>
        <v>1.7709188802202068E-4</v>
      </c>
      <c r="N6" s="7">
        <f>$B6 * IFERROR(VLOOKUP("LULUCF|NOx|Asthma symptoms cough", US_national_yearly!$D:$AM, 22, FALSE) / VLOOKUP("LULUCF|NOx|Asthma symptoms cough", US_national_yearly!$D:$AM, 10, FALSE), 1)</f>
        <v>1.777962183517946E-4</v>
      </c>
      <c r="O6" s="7">
        <f>$B6 * IFERROR(VLOOKUP("LULUCF|NOx|Asthma symptoms cough", US_national_yearly!$D:$AM, 23, FALSE) / VLOOKUP("LULUCF|NOx|Asthma symptoms cough", US_national_yearly!$D:$AM, 10, FALSE), 1)</f>
        <v>1.7850054868156852E-4</v>
      </c>
      <c r="P6" s="7">
        <f>$B6 * IFERROR(VLOOKUP("LULUCF|NOx|Asthma symptoms cough", US_national_yearly!$D:$AM, 24, FALSE) / VLOOKUP("LULUCF|NOx|Asthma symptoms cough", US_national_yearly!$D:$AM, 10, FALSE), 1)</f>
        <v>1.7920487901134245E-4</v>
      </c>
      <c r="Q6" s="7">
        <f>$B6 * IFERROR(VLOOKUP("LULUCF|NOx|Asthma symptoms cough", US_national_yearly!$D:$AM, 25, FALSE) / VLOOKUP("LULUCF|NOx|Asthma symptoms cough", US_national_yearly!$D:$AM, 10, FALSE), 1)</f>
        <v>1.7990920934111642E-4</v>
      </c>
      <c r="R6" s="7">
        <f>$B6 * IFERROR(VLOOKUP("LULUCF|NOx|Asthma symptoms cough", US_national_yearly!$D:$AM, 26, FALSE) / VLOOKUP("LULUCF|NOx|Asthma symptoms cough", US_national_yearly!$D:$AM, 10, FALSE), 1)</f>
        <v>1.8061353967089035E-4</v>
      </c>
      <c r="S6" s="7">
        <f>$B6 * IFERROR(VLOOKUP("LULUCF|NOx|Asthma symptoms cough", US_national_yearly!$D:$AM, 27, FALSE) / VLOOKUP("LULUCF|NOx|Asthma symptoms cough", US_national_yearly!$D:$AM, 10, FALSE), 1)</f>
        <v>1.8153361940912287E-4</v>
      </c>
      <c r="T6" s="7">
        <f>$B6 * IFERROR(VLOOKUP("LULUCF|NOx|Asthma symptoms cough", US_national_yearly!$D:$AM, 28, FALSE) / VLOOKUP("LULUCF|NOx|Asthma symptoms cough", US_national_yearly!$D:$AM, 10, FALSE), 1)</f>
        <v>1.8245369914735536E-4</v>
      </c>
      <c r="U6" s="7">
        <f>$B6 * IFERROR(VLOOKUP("LULUCF|NOx|Asthma symptoms cough", US_national_yearly!$D:$AM, 29, FALSE) / VLOOKUP("LULUCF|NOx|Asthma symptoms cough", US_national_yearly!$D:$AM, 10, FALSE), 1)</f>
        <v>1.8337377888558783E-4</v>
      </c>
      <c r="V6" s="7">
        <f>$B6 * IFERROR(VLOOKUP("LULUCF|NOx|Asthma symptoms cough", US_national_yearly!$D:$AM, 30, FALSE) / VLOOKUP("LULUCF|NOx|Asthma symptoms cough", US_national_yearly!$D:$AM, 10, FALSE), 1)</f>
        <v>1.8429385862382035E-4</v>
      </c>
      <c r="W6" s="7">
        <f>$B6 * IFERROR(VLOOKUP("LULUCF|NOx|Asthma symptoms cough", US_national_yearly!$D:$AM, 31, FALSE) / VLOOKUP("LULUCF|NOx|Asthma symptoms cough", US_national_yearly!$D:$AM, 10, FALSE), 1)</f>
        <v>1.8521393836205285E-4</v>
      </c>
      <c r="X6" s="7">
        <f>$B6 * IFERROR(VLOOKUP("LULUCF|NOx|Asthma symptoms cough", US_national_yearly!$D:$AM, 32, FALSE) / VLOOKUP("LULUCF|NOx|Asthma symptoms cough", US_national_yearly!$D:$AM, 10, FALSE), 1)</f>
        <v>1.8606882464103195E-4</v>
      </c>
      <c r="Y6" s="7">
        <f>$B6 * IFERROR(VLOOKUP("LULUCF|NOx|Asthma symptoms cough", US_national_yearly!$D:$AM, 33, FALSE) / VLOOKUP("LULUCF|NOx|Asthma symptoms cough", US_national_yearly!$D:$AM, 10, FALSE), 1)</f>
        <v>1.8692371092001106E-4</v>
      </c>
      <c r="Z6" s="7">
        <f>$B6 * IFERROR(VLOOKUP("LULUCF|NOx|Asthma symptoms cough", US_national_yearly!$D:$AM, 34, FALSE) / VLOOKUP("LULUCF|NOx|Asthma symptoms cough", US_national_yearly!$D:$AM, 10, FALSE), 1)</f>
        <v>1.8777859719899017E-4</v>
      </c>
      <c r="AA6" s="7">
        <f>$B6 * IFERROR(VLOOKUP("LULUCF|NOx|Asthma symptoms cough", US_national_yearly!$D:$AM, 35, FALSE) / VLOOKUP("LULUCF|NOx|Asthma symptoms cough", US_national_yearly!$D:$AM, 10, FALSE), 1)</f>
        <v>1.8863348347796928E-4</v>
      </c>
      <c r="AB6" s="7">
        <f>$B6 * IFERROR(VLOOKUP("LULUCF|NOx|Asthma symptoms cough", US_national_yearly!$D:$AM, 36, FALSE) / VLOOKUP("LULUCF|NOx|Asthma symptoms cough", US_national_yearly!$D:$AM, 10, FALSE), 1)</f>
        <v>1.8948836975694842E-4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2.1773034196824513E-4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2.2070707171564029E-4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2.2368380146303542E-4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2.2666053121043057E-4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2.2963726095782573E-4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2.3201376368917669E-4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2.3439026642052763E-4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2.352082246826941E-4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2.3602618294486059E-4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2.3684414120702705E-4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2.3766209946919352E-4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2.3848005773136001E-4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2.3942854125067121E-4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2.4037702476998243E-4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2.4132550828929357E-4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2.422739918086048E-4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2.4322247532791599E-4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2.4446149689737108E-4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2.4570051846682623E-4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2.4693954003628127E-4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2.481785616057363E-4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2.4941758317519139E-4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2.5056881224194943E-4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2.5172004130870747E-4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2.528712703754655E-4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2.5402249944222354E-4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2.5517372850898158E-4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3.326546276782368E-4</v>
      </c>
      <c r="C8" s="7">
        <f>$B8 * IFERROR(VLOOKUP("LULUCF|NOx|Asthma symptoms wheeze", US_national_yearly!$D:$AM, 11, FALSE) / VLOOKUP("LULUCF|NOx|Asthma symptoms wheeze", US_national_yearly!$D:$AM, 10, FALSE), 1)</f>
        <v>3.3720256031365706E-4</v>
      </c>
      <c r="D8" s="7">
        <f>$B8 * IFERROR(VLOOKUP("LULUCF|NOx|Asthma symptoms wheeze", US_national_yearly!$D:$AM, 12, FALSE) / VLOOKUP("LULUCF|NOx|Asthma symptoms wheeze", US_national_yearly!$D:$AM, 10, FALSE), 1)</f>
        <v>3.4175049294907748E-4</v>
      </c>
      <c r="E8" s="7">
        <f>$B8 * IFERROR(VLOOKUP("LULUCF|NOx|Asthma symptoms wheeze", US_national_yearly!$D:$AM, 13, FALSE) / VLOOKUP("LULUCF|NOx|Asthma symptoms wheeze", US_national_yearly!$D:$AM, 10, FALSE), 1)</f>
        <v>3.4629842558449775E-4</v>
      </c>
      <c r="F8" s="7">
        <f>$B8 * IFERROR(VLOOKUP("LULUCF|NOx|Asthma symptoms wheeze", US_national_yearly!$D:$AM, 14, FALSE) / VLOOKUP("LULUCF|NOx|Asthma symptoms wheeze", US_national_yearly!$D:$AM, 10, FALSE), 1)</f>
        <v>3.5084635821991801E-4</v>
      </c>
      <c r="G8" s="7">
        <f>$B8 * IFERROR(VLOOKUP("LULUCF|NOx|Asthma symptoms wheeze", US_national_yearly!$D:$AM, 15, FALSE) / VLOOKUP("LULUCF|NOx|Asthma symptoms wheeze", US_national_yearly!$D:$AM, 10, FALSE), 1)</f>
        <v>3.5447724690135642E-4</v>
      </c>
      <c r="H8" s="7">
        <f>$B8 * IFERROR(VLOOKUP("LULUCF|NOx|Asthma symptoms wheeze", US_national_yearly!$D:$AM, 16, FALSE) / VLOOKUP("LULUCF|NOx|Asthma symptoms wheeze", US_national_yearly!$D:$AM, 10, FALSE), 1)</f>
        <v>3.5810813558279488E-4</v>
      </c>
      <c r="I8" s="7">
        <f>$B8 * IFERROR(VLOOKUP("LULUCF|NOx|Asthma symptoms wheeze", US_national_yearly!$D:$AM, 17, FALSE) / VLOOKUP("LULUCF|NOx|Asthma symptoms wheeze", US_national_yearly!$D:$AM, 10, FALSE), 1)</f>
        <v>3.5935783556527987E-4</v>
      </c>
      <c r="J8" s="7">
        <f>$B8 * IFERROR(VLOOKUP("LULUCF|NOx|Asthma symptoms wheeze", US_national_yearly!$D:$AM, 18, FALSE) / VLOOKUP("LULUCF|NOx|Asthma symptoms wheeze", US_national_yearly!$D:$AM, 10, FALSE), 1)</f>
        <v>3.6060753554776492E-4</v>
      </c>
      <c r="K8" s="7">
        <f>$B8 * IFERROR(VLOOKUP("LULUCF|NOx|Asthma symptoms wheeze", US_national_yearly!$D:$AM, 19, FALSE) / VLOOKUP("LULUCF|NOx|Asthma symptoms wheeze", US_national_yearly!$D:$AM, 10, FALSE), 1)</f>
        <v>3.6185723553024981E-4</v>
      </c>
      <c r="L8" s="7">
        <f>$B8 * IFERROR(VLOOKUP("LULUCF|NOx|Asthma symptoms wheeze", US_national_yearly!$D:$AM, 20, FALSE) / VLOOKUP("LULUCF|NOx|Asthma symptoms wheeze", US_national_yearly!$D:$AM, 10, FALSE), 1)</f>
        <v>3.6310693551273485E-4</v>
      </c>
      <c r="M8" s="7">
        <f>$B8 * IFERROR(VLOOKUP("LULUCF|NOx|Asthma symptoms wheeze", US_national_yearly!$D:$AM, 21, FALSE) / VLOOKUP("LULUCF|NOx|Asthma symptoms wheeze", US_national_yearly!$D:$AM, 10, FALSE), 1)</f>
        <v>3.6435663549521985E-4</v>
      </c>
      <c r="N8" s="7">
        <f>$B8 * IFERROR(VLOOKUP("LULUCF|NOx|Asthma symptoms wheeze", US_national_yearly!$D:$AM, 22, FALSE) / VLOOKUP("LULUCF|NOx|Asthma symptoms wheeze", US_national_yearly!$D:$AM, 10, FALSE), 1)</f>
        <v>3.6580575568723493E-4</v>
      </c>
      <c r="O8" s="7">
        <f>$B8 * IFERROR(VLOOKUP("LULUCF|NOx|Asthma symptoms wheeze", US_national_yearly!$D:$AM, 23, FALSE) / VLOOKUP("LULUCF|NOx|Asthma symptoms wheeze", US_national_yearly!$D:$AM, 10, FALSE), 1)</f>
        <v>3.6725487587925006E-4</v>
      </c>
      <c r="P8" s="7">
        <f>$B8 * IFERROR(VLOOKUP("LULUCF|NOx|Asthma symptoms wheeze", US_national_yearly!$D:$AM, 24, FALSE) / VLOOKUP("LULUCF|NOx|Asthma symptoms wheeze", US_national_yearly!$D:$AM, 10, FALSE), 1)</f>
        <v>3.6870399607126514E-4</v>
      </c>
      <c r="Q8" s="7">
        <f>$B8 * IFERROR(VLOOKUP("LULUCF|NOx|Asthma symptoms wheeze", US_national_yearly!$D:$AM, 25, FALSE) / VLOOKUP("LULUCF|NOx|Asthma symptoms wheeze", US_national_yearly!$D:$AM, 10, FALSE), 1)</f>
        <v>3.7015311626328027E-4</v>
      </c>
      <c r="R8" s="7">
        <f>$B8 * IFERROR(VLOOKUP("LULUCF|NOx|Asthma symptoms wheeze", US_national_yearly!$D:$AM, 26, FALSE) / VLOOKUP("LULUCF|NOx|Asthma symptoms wheeze", US_national_yearly!$D:$AM, 10, FALSE), 1)</f>
        <v>3.7160223645529535E-4</v>
      </c>
      <c r="S8" s="7">
        <f>$B8 * IFERROR(VLOOKUP("LULUCF|NOx|Asthma symptoms wheeze", US_national_yearly!$D:$AM, 27, FALSE) / VLOOKUP("LULUCF|NOx|Asthma symptoms wheeze", US_national_yearly!$D:$AM, 10, FALSE), 1)</f>
        <v>3.7349524896630683E-4</v>
      </c>
      <c r="T8" s="7">
        <f>$B8 * IFERROR(VLOOKUP("LULUCF|NOx|Asthma symptoms wheeze", US_national_yearly!$D:$AM, 28, FALSE) / VLOOKUP("LULUCF|NOx|Asthma symptoms wheeze", US_national_yearly!$D:$AM, 10, FALSE), 1)</f>
        <v>3.753882614773183E-4</v>
      </c>
      <c r="U8" s="7">
        <f>$B8 * IFERROR(VLOOKUP("LULUCF|NOx|Asthma symptoms wheeze", US_national_yearly!$D:$AM, 29, FALSE) / VLOOKUP("LULUCF|NOx|Asthma symptoms wheeze", US_national_yearly!$D:$AM, 10, FALSE), 1)</f>
        <v>3.7728127398832978E-4</v>
      </c>
      <c r="V8" s="7">
        <f>$B8 * IFERROR(VLOOKUP("LULUCF|NOx|Asthma symptoms wheeze", US_national_yearly!$D:$AM, 30, FALSE) / VLOOKUP("LULUCF|NOx|Asthma symptoms wheeze", US_national_yearly!$D:$AM, 10, FALSE), 1)</f>
        <v>3.7917428649934131E-4</v>
      </c>
      <c r="W8" s="7">
        <f>$B8 * IFERROR(VLOOKUP("LULUCF|NOx|Asthma symptoms wheeze", US_national_yearly!$D:$AM, 31, FALSE) / VLOOKUP("LULUCF|NOx|Asthma symptoms wheeze", US_national_yearly!$D:$AM, 10, FALSE), 1)</f>
        <v>3.8106729901035268E-4</v>
      </c>
      <c r="X8" s="7">
        <f>$B8 * IFERROR(VLOOKUP("LULUCF|NOx|Asthma symptoms wheeze", US_national_yearly!$D:$AM, 32, FALSE) / VLOOKUP("LULUCF|NOx|Asthma symptoms wheeze", US_national_yearly!$D:$AM, 10, FALSE), 1)</f>
        <v>3.828261796310242E-4</v>
      </c>
      <c r="Y8" s="7">
        <f>$B8 * IFERROR(VLOOKUP("LULUCF|NOx|Asthma symptoms wheeze", US_national_yearly!$D:$AM, 33, FALSE) / VLOOKUP("LULUCF|NOx|Asthma symptoms wheeze", US_national_yearly!$D:$AM, 10, FALSE), 1)</f>
        <v>3.8458506025169562E-4</v>
      </c>
      <c r="Z8" s="7">
        <f>$B8 * IFERROR(VLOOKUP("LULUCF|NOx|Asthma symptoms wheeze", US_national_yearly!$D:$AM, 34, FALSE) / VLOOKUP("LULUCF|NOx|Asthma symptoms wheeze", US_national_yearly!$D:$AM, 10, FALSE), 1)</f>
        <v>3.8634394087236714E-4</v>
      </c>
      <c r="AA8" s="7">
        <f>$B8 * IFERROR(VLOOKUP("LULUCF|NOx|Asthma symptoms wheeze", US_national_yearly!$D:$AM, 35, FALSE) / VLOOKUP("LULUCF|NOx|Asthma symptoms wheeze", US_national_yearly!$D:$AM, 10, FALSE), 1)</f>
        <v>3.8810282149303856E-4</v>
      </c>
      <c r="AB8" s="7">
        <f>$B8 * IFERROR(VLOOKUP("LULUCF|NOx|Asthma symptoms wheeze", US_national_yearly!$D:$AM, 36, FALSE) / VLOOKUP("LULUCF|NOx|Asthma symptoms wheeze", US_national_yearly!$D:$AM, 10, FALSE), 1)</f>
        <v>3.8986170211371008E-4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3.3558507785228327E-6</v>
      </c>
      <c r="C12" s="7">
        <f>$B12 * IFERROR(VLOOKUP("LULUCF|NOx|Respiratory hospital admissions", US_national_yearly!$D:$AM, 11, FALSE) / VLOOKUP("LULUCF|NOx|Respiratory hospital admissions", US_national_yearly!$D:$AM, 10, FALSE), 1)</f>
        <v>3.4395613509850183E-6</v>
      </c>
      <c r="D12" s="7">
        <f>$B12 * IFERROR(VLOOKUP("LULUCF|NOx|Respiratory hospital admissions", US_national_yearly!$D:$AM, 12, FALSE) / VLOOKUP("LULUCF|NOx|Respiratory hospital admissions", US_national_yearly!$D:$AM, 10, FALSE), 1)</f>
        <v>3.5232719234472047E-6</v>
      </c>
      <c r="E12" s="7">
        <f>$B12 * IFERROR(VLOOKUP("LULUCF|NOx|Respiratory hospital admissions", US_national_yearly!$D:$AM, 13, FALSE) / VLOOKUP("LULUCF|NOx|Respiratory hospital admissions", US_national_yearly!$D:$AM, 10, FALSE), 1)</f>
        <v>3.6069824959093912E-6</v>
      </c>
      <c r="F12" s="7">
        <f>$B12 * IFERROR(VLOOKUP("LULUCF|NOx|Respiratory hospital admissions", US_national_yearly!$D:$AM, 14, FALSE) / VLOOKUP("LULUCF|NOx|Respiratory hospital admissions", US_national_yearly!$D:$AM, 10, FALSE), 1)</f>
        <v>3.6906930683715776E-6</v>
      </c>
      <c r="G12" s="7">
        <f>$B12 * IFERROR(VLOOKUP("LULUCF|NOx|Respiratory hospital admissions", US_national_yearly!$D:$AM, 15, FALSE) / VLOOKUP("LULUCF|NOx|Respiratory hospital admissions", US_national_yearly!$D:$AM, 10, FALSE), 1)</f>
        <v>3.7707232248141623E-6</v>
      </c>
      <c r="H12" s="7">
        <f>$B12 * IFERROR(VLOOKUP("LULUCF|NOx|Respiratory hospital admissions", US_national_yearly!$D:$AM, 16, FALSE) / VLOOKUP("LULUCF|NOx|Respiratory hospital admissions", US_national_yearly!$D:$AM, 10, FALSE), 1)</f>
        <v>3.8507533812567474E-6</v>
      </c>
      <c r="I12" s="7">
        <f>$B12 * IFERROR(VLOOKUP("LULUCF|NOx|Respiratory hospital admissions", US_national_yearly!$D:$AM, 17, FALSE) / VLOOKUP("LULUCF|NOx|Respiratory hospital admissions", US_national_yearly!$D:$AM, 10, FALSE), 1)</f>
        <v>3.9187006293300175E-6</v>
      </c>
      <c r="J12" s="7">
        <f>$B12 * IFERROR(VLOOKUP("LULUCF|NOx|Respiratory hospital admissions", US_national_yearly!$D:$AM, 18, FALSE) / VLOOKUP("LULUCF|NOx|Respiratory hospital admissions", US_national_yearly!$D:$AM, 10, FALSE), 1)</f>
        <v>3.9866478774032868E-6</v>
      </c>
      <c r="K12" s="7">
        <f>$B12 * IFERROR(VLOOKUP("LULUCF|NOx|Respiratory hospital admissions", US_national_yearly!$D:$AM, 19, FALSE) / VLOOKUP("LULUCF|NOx|Respiratory hospital admissions", US_national_yearly!$D:$AM, 10, FALSE), 1)</f>
        <v>4.0545951254765569E-6</v>
      </c>
      <c r="L12" s="7">
        <f>$B12 * IFERROR(VLOOKUP("LULUCF|NOx|Respiratory hospital admissions", US_national_yearly!$D:$AM, 20, FALSE) / VLOOKUP("LULUCF|NOx|Respiratory hospital admissions", US_national_yearly!$D:$AM, 10, FALSE), 1)</f>
        <v>4.1225423735498271E-6</v>
      </c>
      <c r="M12" s="7">
        <f>$B12 * IFERROR(VLOOKUP("LULUCF|NOx|Respiratory hospital admissions", US_national_yearly!$D:$AM, 21, FALSE) / VLOOKUP("LULUCF|NOx|Respiratory hospital admissions", US_national_yearly!$D:$AM, 10, FALSE), 1)</f>
        <v>4.1904896216230972E-6</v>
      </c>
      <c r="N12" s="7">
        <f>$B12 * IFERROR(VLOOKUP("LULUCF|NOx|Respiratory hospital admissions", US_national_yearly!$D:$AM, 22, FALSE) / VLOOKUP("LULUCF|NOx|Respiratory hospital admissions", US_national_yearly!$D:$AM, 10, FALSE), 1)</f>
        <v>4.2359135803203386E-6</v>
      </c>
      <c r="O12" s="7">
        <f>$B12 * IFERROR(VLOOKUP("LULUCF|NOx|Respiratory hospital admissions", US_national_yearly!$D:$AM, 23, FALSE) / VLOOKUP("LULUCF|NOx|Respiratory hospital admissions", US_national_yearly!$D:$AM, 10, FALSE), 1)</f>
        <v>4.2813375390175818E-6</v>
      </c>
      <c r="P12" s="7">
        <f>$B12 * IFERROR(VLOOKUP("LULUCF|NOx|Respiratory hospital admissions", US_national_yearly!$D:$AM, 24, FALSE) / VLOOKUP("LULUCF|NOx|Respiratory hospital admissions", US_national_yearly!$D:$AM, 10, FALSE), 1)</f>
        <v>4.326761497714824E-6</v>
      </c>
      <c r="Q12" s="7">
        <f>$B12 * IFERROR(VLOOKUP("LULUCF|NOx|Respiratory hospital admissions", US_national_yearly!$D:$AM, 25, FALSE) / VLOOKUP("LULUCF|NOx|Respiratory hospital admissions", US_national_yearly!$D:$AM, 10, FALSE), 1)</f>
        <v>4.3721854564120671E-6</v>
      </c>
      <c r="R12" s="7">
        <f>$B12 * IFERROR(VLOOKUP("LULUCF|NOx|Respiratory hospital admissions", US_national_yearly!$D:$AM, 26, FALSE) / VLOOKUP("LULUCF|NOx|Respiratory hospital admissions", US_national_yearly!$D:$AM, 10, FALSE), 1)</f>
        <v>4.4176094151093086E-6</v>
      </c>
      <c r="S12" s="7">
        <f>$B12 * IFERROR(VLOOKUP("LULUCF|NOx|Respiratory hospital admissions", US_national_yearly!$D:$AM, 27, FALSE) / VLOOKUP("LULUCF|NOx|Respiratory hospital admissions", US_national_yearly!$D:$AM, 10, FALSE), 1)</f>
        <v>4.4419463413325842E-6</v>
      </c>
      <c r="T12" s="7">
        <f>$B12 * IFERROR(VLOOKUP("LULUCF|NOx|Respiratory hospital admissions", US_national_yearly!$D:$AM, 28, FALSE) / VLOOKUP("LULUCF|NOx|Respiratory hospital admissions", US_national_yearly!$D:$AM, 10, FALSE), 1)</f>
        <v>4.4662832675558589E-6</v>
      </c>
      <c r="U12" s="7">
        <f>$B12 * IFERROR(VLOOKUP("LULUCF|NOx|Respiratory hospital admissions", US_national_yearly!$D:$AM, 29, FALSE) / VLOOKUP("LULUCF|NOx|Respiratory hospital admissions", US_national_yearly!$D:$AM, 10, FALSE), 1)</f>
        <v>4.4906201937791336E-6</v>
      </c>
      <c r="V12" s="7">
        <f>$B12 * IFERROR(VLOOKUP("LULUCF|NOx|Respiratory hospital admissions", US_national_yearly!$D:$AM, 30, FALSE) / VLOOKUP("LULUCF|NOx|Respiratory hospital admissions", US_national_yearly!$D:$AM, 10, FALSE), 1)</f>
        <v>4.5149571200024075E-6</v>
      </c>
      <c r="W12" s="7">
        <f>$B12 * IFERROR(VLOOKUP("LULUCF|NOx|Respiratory hospital admissions", US_national_yearly!$D:$AM, 31, FALSE) / VLOOKUP("LULUCF|NOx|Respiratory hospital admissions", US_national_yearly!$D:$AM, 10, FALSE), 1)</f>
        <v>4.5392940462256831E-6</v>
      </c>
      <c r="X12" s="7">
        <f>$B12 * IFERROR(VLOOKUP("LULUCF|NOx|Respiratory hospital admissions", US_national_yearly!$D:$AM, 32, FALSE) / VLOOKUP("LULUCF|NOx|Respiratory hospital admissions", US_national_yearly!$D:$AM, 10, FALSE), 1)</f>
        <v>4.5559251735313815E-6</v>
      </c>
      <c r="Y12" s="7">
        <f>$B12 * IFERROR(VLOOKUP("LULUCF|NOx|Respiratory hospital admissions", US_national_yearly!$D:$AM, 33, FALSE) / VLOOKUP("LULUCF|NOx|Respiratory hospital admissions", US_national_yearly!$D:$AM, 10, FALSE), 1)</f>
        <v>4.5725563008370798E-6</v>
      </c>
      <c r="Z12" s="7">
        <f>$B12 * IFERROR(VLOOKUP("LULUCF|NOx|Respiratory hospital admissions", US_national_yearly!$D:$AM, 34, FALSE) / VLOOKUP("LULUCF|NOx|Respiratory hospital admissions", US_national_yearly!$D:$AM, 10, FALSE), 1)</f>
        <v>4.589187428142779E-6</v>
      </c>
      <c r="AA12" s="7">
        <f>$B12 * IFERROR(VLOOKUP("LULUCF|NOx|Respiratory hospital admissions", US_national_yearly!$D:$AM, 35, FALSE) / VLOOKUP("LULUCF|NOx|Respiratory hospital admissions", US_national_yearly!$D:$AM, 10, FALSE), 1)</f>
        <v>4.6058185554484774E-6</v>
      </c>
      <c r="AB12" s="7">
        <f>$B12 * IFERROR(VLOOKUP("LULUCF|NOx|Respiratory hospital admissions", US_national_yearly!$D:$AM, 36, FALSE) / VLOOKUP("LULUCF|NOx|Respiratory hospital admissions", US_national_yearly!$D:$AM, 10, FALSE), 1)</f>
        <v>4.6224496827541757E-6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1.9450720287122656E-5</v>
      </c>
      <c r="C13" s="7">
        <f>$B13 * IFERROR(VLOOKUP("LULUCF|NOx|Non-fatal heart attacks", US_national_yearly!$D:$AM, 11, FALSE) / VLOOKUP("LULUCF|NOx|Non-fatal heart attacks", US_national_yearly!$D:$AM, 10, FALSE), 1)</f>
        <v>2.0006799242953529E-5</v>
      </c>
      <c r="D13" s="7">
        <f>$B13 * IFERROR(VLOOKUP("LULUCF|NOx|Non-fatal heart attacks", US_national_yearly!$D:$AM, 12, FALSE) / VLOOKUP("LULUCF|NOx|Non-fatal heart attacks", US_national_yearly!$D:$AM, 10, FALSE), 1)</f>
        <v>2.0562878198784402E-5</v>
      </c>
      <c r="E13" s="7">
        <f>$B13 * IFERROR(VLOOKUP("LULUCF|NOx|Non-fatal heart attacks", US_national_yearly!$D:$AM, 13, FALSE) / VLOOKUP("LULUCF|NOx|Non-fatal heart attacks", US_national_yearly!$D:$AM, 10, FALSE), 1)</f>
        <v>2.1118957154615268E-5</v>
      </c>
      <c r="F13" s="7">
        <f>$B13 * IFERROR(VLOOKUP("LULUCF|NOx|Non-fatal heart attacks", US_national_yearly!$D:$AM, 14, FALSE) / VLOOKUP("LULUCF|NOx|Non-fatal heart attacks", US_national_yearly!$D:$AM, 10, FALSE), 1)</f>
        <v>2.1675036110446141E-5</v>
      </c>
      <c r="G13" s="7">
        <f>$B13 * IFERROR(VLOOKUP("LULUCF|NOx|Non-fatal heart attacks", US_national_yearly!$D:$AM, 15, FALSE) / VLOOKUP("LULUCF|NOx|Non-fatal heart attacks", US_national_yearly!$D:$AM, 10, FALSE), 1)</f>
        <v>2.2194690738944996E-5</v>
      </c>
      <c r="H13" s="7">
        <f>$B13 * IFERROR(VLOOKUP("LULUCF|NOx|Non-fatal heart attacks", US_national_yearly!$D:$AM, 16, FALSE) / VLOOKUP("LULUCF|NOx|Non-fatal heart attacks", US_national_yearly!$D:$AM, 10, FALSE), 1)</f>
        <v>2.2714345367443851E-5</v>
      </c>
      <c r="I13" s="7">
        <f>$B13 * IFERROR(VLOOKUP("LULUCF|NOx|Non-fatal heart attacks", US_national_yearly!$D:$AM, 17, FALSE) / VLOOKUP("LULUCF|NOx|Non-fatal heart attacks", US_national_yearly!$D:$AM, 10, FALSE), 1)</f>
        <v>2.3124033639819358E-5</v>
      </c>
      <c r="J13" s="7">
        <f>$B13 * IFERROR(VLOOKUP("LULUCF|NOx|Non-fatal heart attacks", US_national_yearly!$D:$AM, 18, FALSE) / VLOOKUP("LULUCF|NOx|Non-fatal heart attacks", US_national_yearly!$D:$AM, 10, FALSE), 1)</f>
        <v>2.3533721912194872E-5</v>
      </c>
      <c r="K13" s="7">
        <f>$B13 * IFERROR(VLOOKUP("LULUCF|NOx|Non-fatal heart attacks", US_national_yearly!$D:$AM, 19, FALSE) / VLOOKUP("LULUCF|NOx|Non-fatal heart attacks", US_national_yearly!$D:$AM, 10, FALSE), 1)</f>
        <v>2.3943410184570369E-5</v>
      </c>
      <c r="L13" s="7">
        <f>$B13 * IFERROR(VLOOKUP("LULUCF|NOx|Non-fatal heart attacks", US_national_yearly!$D:$AM, 20, FALSE) / VLOOKUP("LULUCF|NOx|Non-fatal heart attacks", US_national_yearly!$D:$AM, 10, FALSE), 1)</f>
        <v>2.4353098456945893E-5</v>
      </c>
      <c r="M13" s="7">
        <f>$B13 * IFERROR(VLOOKUP("LULUCF|NOx|Non-fatal heart attacks", US_national_yearly!$D:$AM, 21, FALSE) / VLOOKUP("LULUCF|NOx|Non-fatal heart attacks", US_national_yearly!$D:$AM, 10, FALSE), 1)</f>
        <v>2.4762786729321396E-5</v>
      </c>
      <c r="N13" s="7">
        <f>$B13 * IFERROR(VLOOKUP("LULUCF|NOx|Non-fatal heart attacks", US_national_yearly!$D:$AM, 22, FALSE) / VLOOKUP("LULUCF|NOx|Non-fatal heart attacks", US_national_yearly!$D:$AM, 10, FALSE), 1)</f>
        <v>2.5009267618425745E-5</v>
      </c>
      <c r="O13" s="7">
        <f>$B13 * IFERROR(VLOOKUP("LULUCF|NOx|Non-fatal heart attacks", US_national_yearly!$D:$AM, 23, FALSE) / VLOOKUP("LULUCF|NOx|Non-fatal heart attacks", US_national_yearly!$D:$AM, 10, FALSE), 1)</f>
        <v>2.5255748507530091E-5</v>
      </c>
      <c r="P13" s="7">
        <f>$B13 * IFERROR(VLOOKUP("LULUCF|NOx|Non-fatal heart attacks", US_national_yearly!$D:$AM, 24, FALSE) / VLOOKUP("LULUCF|NOx|Non-fatal heart attacks", US_national_yearly!$D:$AM, 10, FALSE), 1)</f>
        <v>2.5502229396634433E-5</v>
      </c>
      <c r="Q13" s="7">
        <f>$B13 * IFERROR(VLOOKUP("LULUCF|NOx|Non-fatal heart attacks", US_national_yearly!$D:$AM, 25, FALSE) / VLOOKUP("LULUCF|NOx|Non-fatal heart attacks", US_national_yearly!$D:$AM, 10, FALSE), 1)</f>
        <v>2.5748710285738786E-5</v>
      </c>
      <c r="R13" s="7">
        <f>$B13 * IFERROR(VLOOKUP("LULUCF|NOx|Non-fatal heart attacks", US_national_yearly!$D:$AM, 26, FALSE) / VLOOKUP("LULUCF|NOx|Non-fatal heart attacks", US_national_yearly!$D:$AM, 10, FALSE), 1)</f>
        <v>2.5995191174843132E-5</v>
      </c>
      <c r="S13" s="7">
        <f>$B13 * IFERROR(VLOOKUP("LULUCF|NOx|Non-fatal heart attacks", US_national_yearly!$D:$AM, 27, FALSE) / VLOOKUP("LULUCF|NOx|Non-fatal heart attacks", US_national_yearly!$D:$AM, 10, FALSE), 1)</f>
        <v>2.6106996610894387E-5</v>
      </c>
      <c r="T13" s="7">
        <f>$B13 * IFERROR(VLOOKUP("LULUCF|NOx|Non-fatal heart attacks", US_national_yearly!$D:$AM, 28, FALSE) / VLOOKUP("LULUCF|NOx|Non-fatal heart attacks", US_national_yearly!$D:$AM, 10, FALSE), 1)</f>
        <v>2.6218802046945642E-5</v>
      </c>
      <c r="U13" s="7">
        <f>$B13 * IFERROR(VLOOKUP("LULUCF|NOx|Non-fatal heart attacks", US_national_yearly!$D:$AM, 29, FALSE) / VLOOKUP("LULUCF|NOx|Non-fatal heart attacks", US_national_yearly!$D:$AM, 10, FALSE), 1)</f>
        <v>2.6330607482996897E-5</v>
      </c>
      <c r="V13" s="7">
        <f>$B13 * IFERROR(VLOOKUP("LULUCF|NOx|Non-fatal heart attacks", US_national_yearly!$D:$AM, 30, FALSE) / VLOOKUP("LULUCF|NOx|Non-fatal heart attacks", US_national_yearly!$D:$AM, 10, FALSE), 1)</f>
        <v>2.6442412919048152E-5</v>
      </c>
      <c r="W13" s="7">
        <f>$B13 * IFERROR(VLOOKUP("LULUCF|NOx|Non-fatal heart attacks", US_national_yearly!$D:$AM, 31, FALSE) / VLOOKUP("LULUCF|NOx|Non-fatal heart attacks", US_national_yearly!$D:$AM, 10, FALSE), 1)</f>
        <v>2.6554218355099407E-5</v>
      </c>
      <c r="X13" s="7">
        <f>$B13 * IFERROR(VLOOKUP("LULUCF|NOx|Non-fatal heart attacks", US_national_yearly!$D:$AM, 32, FALSE) / VLOOKUP("LULUCF|NOx|Non-fatal heart attacks", US_national_yearly!$D:$AM, 10, FALSE), 1)</f>
        <v>2.6628932630470823E-5</v>
      </c>
      <c r="Y13" s="7">
        <f>$B13 * IFERROR(VLOOKUP("LULUCF|NOx|Non-fatal heart attacks", US_national_yearly!$D:$AM, 33, FALSE) / VLOOKUP("LULUCF|NOx|Non-fatal heart attacks", US_national_yearly!$D:$AM, 10, FALSE), 1)</f>
        <v>2.6703646905842244E-5</v>
      </c>
      <c r="Z13" s="7">
        <f>$B13 * IFERROR(VLOOKUP("LULUCF|NOx|Non-fatal heart attacks", US_national_yearly!$D:$AM, 34, FALSE) / VLOOKUP("LULUCF|NOx|Non-fatal heart attacks", US_national_yearly!$D:$AM, 10, FALSE), 1)</f>
        <v>2.6778361181213657E-5</v>
      </c>
      <c r="AA13" s="7">
        <f>$B13 * IFERROR(VLOOKUP("LULUCF|NOx|Non-fatal heart attacks", US_national_yearly!$D:$AM, 35, FALSE) / VLOOKUP("LULUCF|NOx|Non-fatal heart attacks", US_national_yearly!$D:$AM, 10, FALSE), 1)</f>
        <v>2.6853075456585077E-5</v>
      </c>
      <c r="AB13" s="7">
        <f>$B13 * IFERROR(VLOOKUP("LULUCF|NOx|Non-fatal heart attacks", US_national_yearly!$D:$AM, 36, FALSE) / VLOOKUP("LULUCF|NOx|Non-fatal heart attacks", US_national_yearly!$D:$AM, 10, FALSE), 1)</f>
        <v>2.6927789731956498E-5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1.6594577148079496E-2</v>
      </c>
      <c r="C14" s="7">
        <f>$B14 * IFERROR(VLOOKUP("LULUCF|NOx|Minor restricted activity days", US_national_yearly!$D:$AM, 11, FALSE) / VLOOKUP("LULUCF|NOx|Minor restricted activity days", US_national_yearly!$D:$AM, 10, FALSE), 1)</f>
        <v>1.6620019419726576E-2</v>
      </c>
      <c r="D14" s="7">
        <f>$B14 * IFERROR(VLOOKUP("LULUCF|NOx|Minor restricted activity days", US_national_yearly!$D:$AM, 12, FALSE) / VLOOKUP("LULUCF|NOx|Minor restricted activity days", US_national_yearly!$D:$AM, 10, FALSE), 1)</f>
        <v>1.6645461691373663E-2</v>
      </c>
      <c r="E14" s="7">
        <f>$B14 * IFERROR(VLOOKUP("LULUCF|NOx|Minor restricted activity days", US_national_yearly!$D:$AM, 13, FALSE) / VLOOKUP("LULUCF|NOx|Minor restricted activity days", US_national_yearly!$D:$AM, 10, FALSE), 1)</f>
        <v>1.6670903963020747E-2</v>
      </c>
      <c r="F14" s="7">
        <f>$B14 * IFERROR(VLOOKUP("LULUCF|NOx|Minor restricted activity days", US_national_yearly!$D:$AM, 14, FALSE) / VLOOKUP("LULUCF|NOx|Minor restricted activity days", US_national_yearly!$D:$AM, 10, FALSE), 1)</f>
        <v>1.6696346234667828E-2</v>
      </c>
      <c r="G14" s="7">
        <f>$B14 * IFERROR(VLOOKUP("LULUCF|NOx|Minor restricted activity days", US_national_yearly!$D:$AM, 15, FALSE) / VLOOKUP("LULUCF|NOx|Minor restricted activity days", US_national_yearly!$D:$AM, 10, FALSE), 1)</f>
        <v>1.6742288921481441E-2</v>
      </c>
      <c r="H14" s="7">
        <f>$B14 * IFERROR(VLOOKUP("LULUCF|NOx|Minor restricted activity days", US_national_yearly!$D:$AM, 16, FALSE) / VLOOKUP("LULUCF|NOx|Minor restricted activity days", US_national_yearly!$D:$AM, 10, FALSE), 1)</f>
        <v>1.678823160829505E-2</v>
      </c>
      <c r="I14" s="7">
        <f>$B14 * IFERROR(VLOOKUP("LULUCF|NOx|Minor restricted activity days", US_national_yearly!$D:$AM, 17, FALSE) / VLOOKUP("LULUCF|NOx|Minor restricted activity days", US_national_yearly!$D:$AM, 10, FALSE), 1)</f>
        <v>1.6878093686940654E-2</v>
      </c>
      <c r="J14" s="7">
        <f>$B14 * IFERROR(VLOOKUP("LULUCF|NOx|Minor restricted activity days", US_national_yearly!$D:$AM, 18, FALSE) / VLOOKUP("LULUCF|NOx|Minor restricted activity days", US_national_yearly!$D:$AM, 10, FALSE), 1)</f>
        <v>1.696795576558625E-2</v>
      </c>
      <c r="K14" s="7">
        <f>$B14 * IFERROR(VLOOKUP("LULUCF|NOx|Minor restricted activity days", US_national_yearly!$D:$AM, 19, FALSE) / VLOOKUP("LULUCF|NOx|Minor restricted activity days", US_national_yearly!$D:$AM, 10, FALSE), 1)</f>
        <v>1.7057817844231854E-2</v>
      </c>
      <c r="L14" s="7">
        <f>$B14 * IFERROR(VLOOKUP("LULUCF|NOx|Minor restricted activity days", US_national_yearly!$D:$AM, 20, FALSE) / VLOOKUP("LULUCF|NOx|Minor restricted activity days", US_national_yearly!$D:$AM, 10, FALSE), 1)</f>
        <v>1.7147679922877451E-2</v>
      </c>
      <c r="M14" s="7">
        <f>$B14 * IFERROR(VLOOKUP("LULUCF|NOx|Minor restricted activity days", US_national_yearly!$D:$AM, 21, FALSE) / VLOOKUP("LULUCF|NOx|Minor restricted activity days", US_national_yearly!$D:$AM, 10, FALSE), 1)</f>
        <v>1.7237542001523051E-2</v>
      </c>
      <c r="N14" s="7">
        <f>$B14 * IFERROR(VLOOKUP("LULUCF|NOx|Minor restricted activity days", US_national_yearly!$D:$AM, 22, FALSE) / VLOOKUP("LULUCF|NOx|Minor restricted activity days", US_national_yearly!$D:$AM, 10, FALSE), 1)</f>
        <v>1.7366204122358547E-2</v>
      </c>
      <c r="O14" s="7">
        <f>$B14 * IFERROR(VLOOKUP("LULUCF|NOx|Minor restricted activity days", US_national_yearly!$D:$AM, 23, FALSE) / VLOOKUP("LULUCF|NOx|Minor restricted activity days", US_national_yearly!$D:$AM, 10, FALSE), 1)</f>
        <v>1.7494866243194043E-2</v>
      </c>
      <c r="P14" s="7">
        <f>$B14 * IFERROR(VLOOKUP("LULUCF|NOx|Minor restricted activity days", US_national_yearly!$D:$AM, 24, FALSE) / VLOOKUP("LULUCF|NOx|Minor restricted activity days", US_national_yearly!$D:$AM, 10, FALSE), 1)</f>
        <v>1.7623528364029539E-2</v>
      </c>
      <c r="Q14" s="7">
        <f>$B14 * IFERROR(VLOOKUP("LULUCF|NOx|Minor restricted activity days", US_national_yearly!$D:$AM, 25, FALSE) / VLOOKUP("LULUCF|NOx|Minor restricted activity days", US_national_yearly!$D:$AM, 10, FALSE), 1)</f>
        <v>1.7752190484865035E-2</v>
      </c>
      <c r="R14" s="7">
        <f>$B14 * IFERROR(VLOOKUP("LULUCF|NOx|Minor restricted activity days", US_national_yearly!$D:$AM, 26, FALSE) / VLOOKUP("LULUCF|NOx|Minor restricted activity days", US_national_yearly!$D:$AM, 10, FALSE), 1)</f>
        <v>1.7880852605700527E-2</v>
      </c>
      <c r="S14" s="7">
        <f>$B14 * IFERROR(VLOOKUP("LULUCF|NOx|Minor restricted activity days", US_national_yearly!$D:$AM, 27, FALSE) / VLOOKUP("LULUCF|NOx|Minor restricted activity days", US_national_yearly!$D:$AM, 10, FALSE), 1)</f>
        <v>1.80094876756005E-2</v>
      </c>
      <c r="T14" s="7">
        <f>$B14 * IFERROR(VLOOKUP("LULUCF|NOx|Minor restricted activity days", US_national_yearly!$D:$AM, 28, FALSE) / VLOOKUP("LULUCF|NOx|Minor restricted activity days", US_national_yearly!$D:$AM, 10, FALSE), 1)</f>
        <v>1.8138122745500466E-2</v>
      </c>
      <c r="U14" s="7">
        <f>$B14 * IFERROR(VLOOKUP("LULUCF|NOx|Minor restricted activity days", US_national_yearly!$D:$AM, 29, FALSE) / VLOOKUP("LULUCF|NOx|Minor restricted activity days", US_national_yearly!$D:$AM, 10, FALSE), 1)</f>
        <v>1.8266757815400436E-2</v>
      </c>
      <c r="V14" s="7">
        <f>$B14 * IFERROR(VLOOKUP("LULUCF|NOx|Minor restricted activity days", US_national_yearly!$D:$AM, 30, FALSE) / VLOOKUP("LULUCF|NOx|Minor restricted activity days", US_national_yearly!$D:$AM, 10, FALSE), 1)</f>
        <v>1.8395392885300409E-2</v>
      </c>
      <c r="W14" s="7">
        <f>$B14 * IFERROR(VLOOKUP("LULUCF|NOx|Minor restricted activity days", US_national_yearly!$D:$AM, 31, FALSE) / VLOOKUP("LULUCF|NOx|Minor restricted activity days", US_national_yearly!$D:$AM, 10, FALSE), 1)</f>
        <v>1.8524027955200376E-2</v>
      </c>
      <c r="X14" s="7">
        <f>$B14 * IFERROR(VLOOKUP("LULUCF|NOx|Minor restricted activity days", US_national_yearly!$D:$AM, 32, FALSE) / VLOOKUP("LULUCF|NOx|Minor restricted activity days", US_national_yearly!$D:$AM, 10, FALSE), 1)</f>
        <v>1.8632784006341063E-2</v>
      </c>
      <c r="Y14" s="7">
        <f>$B14 * IFERROR(VLOOKUP("LULUCF|NOx|Minor restricted activity days", US_national_yearly!$D:$AM, 33, FALSE) / VLOOKUP("LULUCF|NOx|Minor restricted activity days", US_national_yearly!$D:$AM, 10, FALSE), 1)</f>
        <v>1.874154005748175E-2</v>
      </c>
      <c r="Z14" s="7">
        <f>$B14 * IFERROR(VLOOKUP("LULUCF|NOx|Minor restricted activity days", US_national_yearly!$D:$AM, 34, FALSE) / VLOOKUP("LULUCF|NOx|Minor restricted activity days", US_national_yearly!$D:$AM, 10, FALSE), 1)</f>
        <v>1.8850296108622433E-2</v>
      </c>
      <c r="AA14" s="7">
        <f>$B14 * IFERROR(VLOOKUP("LULUCF|NOx|Minor restricted activity days", US_national_yearly!$D:$AM, 35, FALSE) / VLOOKUP("LULUCF|NOx|Minor restricted activity days", US_national_yearly!$D:$AM, 10, FALSE), 1)</f>
        <v>1.895905215976312E-2</v>
      </c>
      <c r="AB14" s="7">
        <f>$B14 * IFERROR(VLOOKUP("LULUCF|NOx|Minor restricted activity days", US_national_yearly!$D:$AM, 36, FALSE) / VLOOKUP("LULUCF|NOx|Minor restricted activity days", US_national_yearly!$D:$AM, 10, FALSE), 1)</f>
        <v>1.9067808210903807E-2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2.813677963551098E-3</v>
      </c>
      <c r="C15" s="7">
        <f>$B15 * IFERROR(VLOOKUP("LULUCF|NOx|Work loss days", US_national_yearly!$D:$AM, 11, FALSE) / VLOOKUP("LULUCF|NOx|Work loss days", US_national_yearly!$D:$AM, 10, FALSE), 1)</f>
        <v>2.8199368388147046E-3</v>
      </c>
      <c r="D15" s="7">
        <f>$B15 * IFERROR(VLOOKUP("LULUCF|NOx|Work loss days", US_national_yearly!$D:$AM, 12, FALSE) / VLOOKUP("LULUCF|NOx|Work loss days", US_national_yearly!$D:$AM, 10, FALSE), 1)</f>
        <v>2.8261957140783118E-3</v>
      </c>
      <c r="E15" s="7">
        <f>$B15 * IFERROR(VLOOKUP("LULUCF|NOx|Work loss days", US_national_yearly!$D:$AM, 13, FALSE) / VLOOKUP("LULUCF|NOx|Work loss days", US_national_yearly!$D:$AM, 10, FALSE), 1)</f>
        <v>2.832454589341918E-3</v>
      </c>
      <c r="F15" s="7">
        <f>$B15 * IFERROR(VLOOKUP("LULUCF|NOx|Work loss days", US_national_yearly!$D:$AM, 14, FALSE) / VLOOKUP("LULUCF|NOx|Work loss days", US_national_yearly!$D:$AM, 10, FALSE), 1)</f>
        <v>2.8387134646055251E-3</v>
      </c>
      <c r="G15" s="7">
        <f>$B15 * IFERROR(VLOOKUP("LULUCF|NOx|Work loss days", US_national_yearly!$D:$AM, 15, FALSE) / VLOOKUP("LULUCF|NOx|Work loss days", US_national_yearly!$D:$AM, 10, FALSE), 1)</f>
        <v>2.8478514758813762E-3</v>
      </c>
      <c r="H15" s="7">
        <f>$B15 * IFERROR(VLOOKUP("LULUCF|NOx|Work loss days", US_national_yearly!$D:$AM, 16, FALSE) / VLOOKUP("LULUCF|NOx|Work loss days", US_national_yearly!$D:$AM, 10, FALSE), 1)</f>
        <v>2.8569894871572272E-3</v>
      </c>
      <c r="I15" s="7">
        <f>$B15 * IFERROR(VLOOKUP("LULUCF|NOx|Work loss days", US_national_yearly!$D:$AM, 17, FALSE) / VLOOKUP("LULUCF|NOx|Work loss days", US_national_yearly!$D:$AM, 10, FALSE), 1)</f>
        <v>2.8717925701784663E-3</v>
      </c>
      <c r="J15" s="7">
        <f>$B15 * IFERROR(VLOOKUP("LULUCF|NOx|Work loss days", US_national_yearly!$D:$AM, 18, FALSE) / VLOOKUP("LULUCF|NOx|Work loss days", US_national_yearly!$D:$AM, 10, FALSE), 1)</f>
        <v>2.8865956531997062E-3</v>
      </c>
      <c r="K15" s="7">
        <f>$B15 * IFERROR(VLOOKUP("LULUCF|NOx|Work loss days", US_national_yearly!$D:$AM, 19, FALSE) / VLOOKUP("LULUCF|NOx|Work loss days", US_national_yearly!$D:$AM, 10, FALSE), 1)</f>
        <v>2.9013987362209452E-3</v>
      </c>
      <c r="L15" s="7">
        <f>$B15 * IFERROR(VLOOKUP("LULUCF|NOx|Work loss days", US_national_yearly!$D:$AM, 20, FALSE) / VLOOKUP("LULUCF|NOx|Work loss days", US_national_yearly!$D:$AM, 10, FALSE), 1)</f>
        <v>2.9162018192421843E-3</v>
      </c>
      <c r="M15" s="7">
        <f>$B15 * IFERROR(VLOOKUP("LULUCF|NOx|Work loss days", US_national_yearly!$D:$AM, 21, FALSE) / VLOOKUP("LULUCF|NOx|Work loss days", US_national_yearly!$D:$AM, 10, FALSE), 1)</f>
        <v>2.9310049022634238E-3</v>
      </c>
      <c r="N15" s="7">
        <f>$B15 * IFERROR(VLOOKUP("LULUCF|NOx|Work loss days", US_national_yearly!$D:$AM, 22, FALSE) / VLOOKUP("LULUCF|NOx|Work loss days", US_national_yearly!$D:$AM, 10, FALSE), 1)</f>
        <v>2.9502702064579315E-3</v>
      </c>
      <c r="O15" s="7">
        <f>$B15 * IFERROR(VLOOKUP("LULUCF|NOx|Work loss days", US_national_yearly!$D:$AM, 23, FALSE) / VLOOKUP("LULUCF|NOx|Work loss days", US_national_yearly!$D:$AM, 10, FALSE), 1)</f>
        <v>2.9695355106524389E-3</v>
      </c>
      <c r="P15" s="7">
        <f>$B15 * IFERROR(VLOOKUP("LULUCF|NOx|Work loss days", US_national_yearly!$D:$AM, 24, FALSE) / VLOOKUP("LULUCF|NOx|Work loss days", US_national_yearly!$D:$AM, 10, FALSE), 1)</f>
        <v>2.9888008148469467E-3</v>
      </c>
      <c r="Q15" s="7">
        <f>$B15 * IFERROR(VLOOKUP("LULUCF|NOx|Work loss days", US_national_yearly!$D:$AM, 25, FALSE) / VLOOKUP("LULUCF|NOx|Work loss days", US_national_yearly!$D:$AM, 10, FALSE), 1)</f>
        <v>3.0080661190414536E-3</v>
      </c>
      <c r="R15" s="7">
        <f>$B15 * IFERROR(VLOOKUP("LULUCF|NOx|Work loss days", US_national_yearly!$D:$AM, 26, FALSE) / VLOOKUP("LULUCF|NOx|Work loss days", US_national_yearly!$D:$AM, 10, FALSE), 1)</f>
        <v>3.0273314232359618E-3</v>
      </c>
      <c r="S15" s="7">
        <f>$B15 * IFERROR(VLOOKUP("LULUCF|NOx|Work loss days", US_national_yearly!$D:$AM, 27, FALSE) / VLOOKUP("LULUCF|NOx|Work loss days", US_national_yearly!$D:$AM, 10, FALSE), 1)</f>
        <v>3.0488097741124226E-3</v>
      </c>
      <c r="T15" s="7">
        <f>$B15 * IFERROR(VLOOKUP("LULUCF|NOx|Work loss days", US_national_yearly!$D:$AM, 28, FALSE) / VLOOKUP("LULUCF|NOx|Work loss days", US_national_yearly!$D:$AM, 10, FALSE), 1)</f>
        <v>3.070288124988883E-3</v>
      </c>
      <c r="U15" s="7">
        <f>$B15 * IFERROR(VLOOKUP("LULUCF|NOx|Work loss days", US_national_yearly!$D:$AM, 29, FALSE) / VLOOKUP("LULUCF|NOx|Work loss days", US_national_yearly!$D:$AM, 10, FALSE), 1)</f>
        <v>3.0917664758653434E-3</v>
      </c>
      <c r="V15" s="7">
        <f>$B15 * IFERROR(VLOOKUP("LULUCF|NOx|Work loss days", US_national_yearly!$D:$AM, 30, FALSE) / VLOOKUP("LULUCF|NOx|Work loss days", US_national_yearly!$D:$AM, 10, FALSE), 1)</f>
        <v>3.1132448267418042E-3</v>
      </c>
      <c r="W15" s="7">
        <f>$B15 * IFERROR(VLOOKUP("LULUCF|NOx|Work loss days", US_national_yearly!$D:$AM, 31, FALSE) / VLOOKUP("LULUCF|NOx|Work loss days", US_national_yearly!$D:$AM, 10, FALSE), 1)</f>
        <v>3.1347231776182646E-3</v>
      </c>
      <c r="X15" s="7">
        <f>$B15 * IFERROR(VLOOKUP("LULUCF|NOx|Work loss days", US_national_yearly!$D:$AM, 32, FALSE) / VLOOKUP("LULUCF|NOx|Work loss days", US_national_yearly!$D:$AM, 10, FALSE), 1)</f>
        <v>3.153365241023371E-3</v>
      </c>
      <c r="Y15" s="7">
        <f>$B15 * IFERROR(VLOOKUP("LULUCF|NOx|Work loss days", US_national_yearly!$D:$AM, 33, FALSE) / VLOOKUP("LULUCF|NOx|Work loss days", US_national_yearly!$D:$AM, 10, FALSE), 1)</f>
        <v>3.1720073044284769E-3</v>
      </c>
      <c r="Z15" s="7">
        <f>$B15 * IFERROR(VLOOKUP("LULUCF|NOx|Work loss days", US_national_yearly!$D:$AM, 34, FALSE) / VLOOKUP("LULUCF|NOx|Work loss days", US_national_yearly!$D:$AM, 10, FALSE), 1)</f>
        <v>3.1906493678335833E-3</v>
      </c>
      <c r="AA15" s="7">
        <f>$B15 * IFERROR(VLOOKUP("LULUCF|NOx|Work loss days", US_national_yearly!$D:$AM, 35, FALSE) / VLOOKUP("LULUCF|NOx|Work loss days", US_national_yearly!$D:$AM, 10, FALSE), 1)</f>
        <v>3.2092914312386893E-3</v>
      </c>
      <c r="AB15" s="7">
        <f>$B15 * IFERROR(VLOOKUP("LULUCF|NOx|Work loss days", US_national_yearly!$D:$AM, 36, FALSE) / VLOOKUP("LULUCF|NOx|Work loss days", US_national_yearly!$D:$AM, 10, FALSE), 1)</f>
        <v>3.2279334946437956E-3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4.5667496114789119E-6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4.7009418669537322E-6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4.8351341224285517E-6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4.9693263779033702E-6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5.1035186333781905E-6</v>
      </c>
      <c r="G17" s="7">
        <f>$B17 * IFERROR(VLOOKUP("LULUCF|NOx|Cardiovascular hospital admissions", US_national_yearly!$D:$AM, 15, FALSE) / VLOOKUP("LULUCF|NOx|Cardiovascular hospital admissions", US_national_yearly!$D:$AM, 10, FALSE), 1)</f>
        <v>5.2309790840888973E-6</v>
      </c>
      <c r="H17" s="7">
        <f>$B17 * IFERROR(VLOOKUP("LULUCF|NOx|Cardiovascular hospital admissions", US_national_yearly!$D:$AM, 16, FALSE) / VLOOKUP("LULUCF|NOx|Cardiovascular hospital admissions", US_national_yearly!$D:$AM, 10, FALSE), 1)</f>
        <v>5.3584395347996057E-6</v>
      </c>
      <c r="I17" s="7">
        <f>$B17 * IFERROR(VLOOKUP("LULUCF|NOx|Cardiovascular hospital admissions", US_national_yearly!$D:$AM, 17, FALSE) / VLOOKUP("LULUCF|NOx|Cardiovascular hospital admissions", US_national_yearly!$D:$AM, 10, FALSE), 1)</f>
        <v>5.4656239408285446E-6</v>
      </c>
      <c r="J17" s="7">
        <f>$B17 * IFERROR(VLOOKUP("LULUCF|NOx|Cardiovascular hospital admissions", US_national_yearly!$D:$AM, 18, FALSE) / VLOOKUP("LULUCF|NOx|Cardiovascular hospital admissions", US_national_yearly!$D:$AM, 10, FALSE), 1)</f>
        <v>5.5728083468574835E-6</v>
      </c>
      <c r="K17" s="7">
        <f>$B17 * IFERROR(VLOOKUP("LULUCF|NOx|Cardiovascular hospital admissions", US_national_yearly!$D:$AM, 19, FALSE) / VLOOKUP("LULUCF|NOx|Cardiovascular hospital admissions", US_national_yearly!$D:$AM, 10, FALSE), 1)</f>
        <v>5.6799927528864223E-6</v>
      </c>
      <c r="L17" s="7">
        <f>$B17 * IFERROR(VLOOKUP("LULUCF|NOx|Cardiovascular hospital admissions", US_national_yearly!$D:$AM, 20, FALSE) / VLOOKUP("LULUCF|NOx|Cardiovascular hospital admissions", US_national_yearly!$D:$AM, 10, FALSE), 1)</f>
        <v>5.7871771589153612E-6</v>
      </c>
      <c r="M17" s="7">
        <f>$B17 * IFERROR(VLOOKUP("LULUCF|NOx|Cardiovascular hospital admissions", US_national_yearly!$D:$AM, 21, FALSE) / VLOOKUP("LULUCF|NOx|Cardiovascular hospital admissions", US_national_yearly!$D:$AM, 10, FALSE), 1)</f>
        <v>5.8943615649443017E-6</v>
      </c>
      <c r="N17" s="7">
        <f>$B17 * IFERROR(VLOOKUP("LULUCF|NOx|Cardiovascular hospital admissions", US_national_yearly!$D:$AM, 22, FALSE) / VLOOKUP("LULUCF|NOx|Cardiovascular hospital admissions", US_national_yearly!$D:$AM, 10, FALSE), 1)</f>
        <v>5.9613875255665343E-6</v>
      </c>
      <c r="O17" s="7">
        <f>$B17 * IFERROR(VLOOKUP("LULUCF|NOx|Cardiovascular hospital admissions", US_national_yearly!$D:$AM, 23, FALSE) / VLOOKUP("LULUCF|NOx|Cardiovascular hospital admissions", US_national_yearly!$D:$AM, 10, FALSE), 1)</f>
        <v>6.0284134861887678E-6</v>
      </c>
      <c r="P17" s="7">
        <f>$B17 * IFERROR(VLOOKUP("LULUCF|NOx|Cardiovascular hospital admissions", US_national_yearly!$D:$AM, 24, FALSE) / VLOOKUP("LULUCF|NOx|Cardiovascular hospital admissions", US_national_yearly!$D:$AM, 10, FALSE), 1)</f>
        <v>6.0954394468110004E-6</v>
      </c>
      <c r="Q17" s="7">
        <f>$B17 * IFERROR(VLOOKUP("LULUCF|NOx|Cardiovascular hospital admissions", US_national_yearly!$D:$AM, 25, FALSE) / VLOOKUP("LULUCF|NOx|Cardiovascular hospital admissions", US_national_yearly!$D:$AM, 10, FALSE), 1)</f>
        <v>6.1624654074332348E-6</v>
      </c>
      <c r="R17" s="7">
        <f>$B17 * IFERROR(VLOOKUP("LULUCF|NOx|Cardiovascular hospital admissions", US_national_yearly!$D:$AM, 26, FALSE) / VLOOKUP("LULUCF|NOx|Cardiovascular hospital admissions", US_national_yearly!$D:$AM, 10, FALSE), 1)</f>
        <v>6.2294913680554674E-6</v>
      </c>
      <c r="S17" s="7">
        <f>$B17 * IFERROR(VLOOKUP("LULUCF|NOx|Cardiovascular hospital admissions", US_national_yearly!$D:$AM, 27, FALSE) / VLOOKUP("LULUCF|NOx|Cardiovascular hospital admissions", US_national_yearly!$D:$AM, 10, FALSE), 1)</f>
        <v>6.2600734733222946E-6</v>
      </c>
      <c r="T17" s="7">
        <f>$B17 * IFERROR(VLOOKUP("LULUCF|NOx|Cardiovascular hospital admissions", US_national_yearly!$D:$AM, 28, FALSE) / VLOOKUP("LULUCF|NOx|Cardiovascular hospital admissions", US_national_yearly!$D:$AM, 10, FALSE), 1)</f>
        <v>6.2906555785891218E-6</v>
      </c>
      <c r="U17" s="7">
        <f>$B17 * IFERROR(VLOOKUP("LULUCF|NOx|Cardiovascular hospital admissions", US_national_yearly!$D:$AM, 29, FALSE) / VLOOKUP("LULUCF|NOx|Cardiovascular hospital admissions", US_national_yearly!$D:$AM, 10, FALSE), 1)</f>
        <v>6.3212376838559473E-6</v>
      </c>
      <c r="V17" s="7">
        <f>$B17 * IFERROR(VLOOKUP("LULUCF|NOx|Cardiovascular hospital admissions", US_national_yearly!$D:$AM, 30, FALSE) / VLOOKUP("LULUCF|NOx|Cardiovascular hospital admissions", US_national_yearly!$D:$AM, 10, FALSE), 1)</f>
        <v>6.3518197891227745E-6</v>
      </c>
      <c r="W17" s="7">
        <f>$B17 * IFERROR(VLOOKUP("LULUCF|NOx|Cardiovascular hospital admissions", US_national_yearly!$D:$AM, 31, FALSE) / VLOOKUP("LULUCF|NOx|Cardiovascular hospital admissions", US_national_yearly!$D:$AM, 10, FALSE), 1)</f>
        <v>6.3824018943896017E-6</v>
      </c>
      <c r="X17" s="7">
        <f>$B17 * IFERROR(VLOOKUP("LULUCF|NOx|Cardiovascular hospital admissions", US_national_yearly!$D:$AM, 32, FALSE) / VLOOKUP("LULUCF|NOx|Cardiovascular hospital admissions", US_national_yearly!$D:$AM, 10, FALSE), 1)</f>
        <v>6.3994218962404014E-6</v>
      </c>
      <c r="Y17" s="7">
        <f>$B17 * IFERROR(VLOOKUP("LULUCF|NOx|Cardiovascular hospital admissions", US_national_yearly!$D:$AM, 33, FALSE) / VLOOKUP("LULUCF|NOx|Cardiovascular hospital admissions", US_national_yearly!$D:$AM, 10, FALSE), 1)</f>
        <v>6.4164418980912011E-6</v>
      </c>
      <c r="Z17" s="7">
        <f>$B17 * IFERROR(VLOOKUP("LULUCF|NOx|Cardiovascular hospital admissions", US_national_yearly!$D:$AM, 34, FALSE) / VLOOKUP("LULUCF|NOx|Cardiovascular hospital admissions", US_national_yearly!$D:$AM, 10, FALSE), 1)</f>
        <v>6.4334618999420009E-6</v>
      </c>
      <c r="AA17" s="7">
        <f>$B17 * IFERROR(VLOOKUP("LULUCF|NOx|Cardiovascular hospital admissions", US_national_yearly!$D:$AM, 35, FALSE) / VLOOKUP("LULUCF|NOx|Cardiovascular hospital admissions", US_national_yearly!$D:$AM, 10, FALSE), 1)</f>
        <v>6.4504819017928015E-6</v>
      </c>
      <c r="AB17" s="7">
        <f>$B17 * IFERROR(VLOOKUP("LULUCF|NOx|Cardiovascular hospital admissions", US_national_yearly!$D:$AM, 36, FALSE) / VLOOKUP("LULUCF|NOx|Cardiovascular hospital admissions", US_national_yearly!$D:$AM, 10, FALSE), 1)</f>
        <v>6.4675019036436012E-6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5.1488380735345695E-5</v>
      </c>
      <c r="C2" s="7">
        <f>$B2 * IFERROR(VLOOKUP("LULUCF|SO2|Premature mortality", US_national_yearly!$D:$AM, 11, FALSE) / VLOOKUP("LULUCF|SO2|Premature mortality", US_national_yearly!$D:$AM, 10, FALSE), 1)</f>
        <v>5.214045321882743E-5</v>
      </c>
      <c r="D2" s="7">
        <f>$B2 * IFERROR(VLOOKUP("LULUCF|SO2|Premature mortality", US_national_yearly!$D:$AM, 12, FALSE) / VLOOKUP("LULUCF|SO2|Premature mortality", US_national_yearly!$D:$AM, 10, FALSE), 1)</f>
        <v>5.279252570230917E-5</v>
      </c>
      <c r="E2" s="7">
        <f>$B2 * IFERROR(VLOOKUP("LULUCF|SO2|Premature mortality", US_national_yearly!$D:$AM, 13, FALSE) / VLOOKUP("LULUCF|SO2|Premature mortality", US_national_yearly!$D:$AM, 10, FALSE), 1)</f>
        <v>5.3444598185790905E-5</v>
      </c>
      <c r="F2" s="7">
        <f>$B2 * IFERROR(VLOOKUP("LULUCF|SO2|Premature mortality", US_national_yearly!$D:$AM, 14, FALSE) / VLOOKUP("LULUCF|SO2|Premature mortality", US_national_yearly!$D:$AM, 10, FALSE), 1)</f>
        <v>5.4096670669272639E-5</v>
      </c>
      <c r="G2" s="7">
        <f>$B2 * IFERROR(VLOOKUP("LULUCF|SO2|Premature mortality", US_national_yearly!$D:$AM, 15, FALSE) / VLOOKUP("LULUCF|SO2|Premature mortality", US_national_yearly!$D:$AM, 10, FALSE), 1)</f>
        <v>5.5353177389482684E-5</v>
      </c>
      <c r="H2" s="7">
        <f>$B2 * IFERROR(VLOOKUP("LULUCF|SO2|Premature mortality", US_national_yearly!$D:$AM, 16, FALSE) / VLOOKUP("LULUCF|SO2|Premature mortality", US_national_yearly!$D:$AM, 10, FALSE), 1)</f>
        <v>5.6609684109692722E-5</v>
      </c>
      <c r="I2" s="7">
        <f>$B2 * IFERROR(VLOOKUP("LULUCF|SO2|Premature mortality", US_national_yearly!$D:$AM, 17, FALSE) / VLOOKUP("LULUCF|SO2|Premature mortality", US_national_yearly!$D:$AM, 10, FALSE), 1)</f>
        <v>5.7440060741624701E-5</v>
      </c>
      <c r="J2" s="7">
        <f>$B2 * IFERROR(VLOOKUP("LULUCF|SO2|Premature mortality", US_national_yearly!$D:$AM, 18, FALSE) / VLOOKUP("LULUCF|SO2|Premature mortality", US_national_yearly!$D:$AM, 10, FALSE), 1)</f>
        <v>5.827043737355668E-5</v>
      </c>
      <c r="K2" s="7">
        <f>$B2 * IFERROR(VLOOKUP("LULUCF|SO2|Premature mortality", US_national_yearly!$D:$AM, 19, FALSE) / VLOOKUP("LULUCF|SO2|Premature mortality", US_national_yearly!$D:$AM, 10, FALSE), 1)</f>
        <v>5.9100814005488652E-5</v>
      </c>
      <c r="L2" s="7">
        <f>$B2 * IFERROR(VLOOKUP("LULUCF|SO2|Premature mortality", US_national_yearly!$D:$AM, 20, FALSE) / VLOOKUP("LULUCF|SO2|Premature mortality", US_national_yearly!$D:$AM, 10, FALSE), 1)</f>
        <v>5.993119063742063E-5</v>
      </c>
      <c r="M2" s="7">
        <f>$B2 * IFERROR(VLOOKUP("LULUCF|SO2|Premature mortality", US_national_yearly!$D:$AM, 21, FALSE) / VLOOKUP("LULUCF|SO2|Premature mortality", US_national_yearly!$D:$AM, 10, FALSE), 1)</f>
        <v>6.0761567269352609E-5</v>
      </c>
      <c r="N2" s="7">
        <f>$B2 * IFERROR(VLOOKUP("LULUCF|SO2|Premature mortality", US_national_yearly!$D:$AM, 22, FALSE) / VLOOKUP("LULUCF|SO2|Premature mortality", US_national_yearly!$D:$AM, 10, FALSE), 1)</f>
        <v>6.1410378527651535E-5</v>
      </c>
      <c r="O2" s="7">
        <f>$B2 * IFERROR(VLOOKUP("LULUCF|SO2|Premature mortality", US_national_yearly!$D:$AM, 23, FALSE) / VLOOKUP("LULUCF|SO2|Premature mortality", US_national_yearly!$D:$AM, 10, FALSE), 1)</f>
        <v>6.2059189785950461E-5</v>
      </c>
      <c r="P2" s="7">
        <f>$B2 * IFERROR(VLOOKUP("LULUCF|SO2|Premature mortality", US_national_yearly!$D:$AM, 24, FALSE) / VLOOKUP("LULUCF|SO2|Premature mortality", US_national_yearly!$D:$AM, 10, FALSE), 1)</f>
        <v>6.2708001044249387E-5</v>
      </c>
      <c r="Q2" s="7">
        <f>$B2 * IFERROR(VLOOKUP("LULUCF|SO2|Premature mortality", US_national_yearly!$D:$AM, 25, FALSE) / VLOOKUP("LULUCF|SO2|Premature mortality", US_national_yearly!$D:$AM, 10, FALSE), 1)</f>
        <v>6.3356812302548313E-5</v>
      </c>
      <c r="R2" s="7">
        <f>$B2 * IFERROR(VLOOKUP("LULUCF|SO2|Premature mortality", US_national_yearly!$D:$AM, 26, FALSE) / VLOOKUP("LULUCF|SO2|Premature mortality", US_national_yearly!$D:$AM, 10, FALSE), 1)</f>
        <v>6.4005623560847225E-5</v>
      </c>
      <c r="S2" s="7">
        <f>$B2 * IFERROR(VLOOKUP("LULUCF|SO2|Premature mortality", US_national_yearly!$D:$AM, 27, FALSE) / VLOOKUP("LULUCF|SO2|Premature mortality", US_national_yearly!$D:$AM, 10, FALSE), 1)</f>
        <v>6.4353070628717473E-5</v>
      </c>
      <c r="T2" s="7">
        <f>$B2 * IFERROR(VLOOKUP("LULUCF|SO2|Premature mortality", US_national_yearly!$D:$AM, 28, FALSE) / VLOOKUP("LULUCF|SO2|Premature mortality", US_national_yearly!$D:$AM, 10, FALSE), 1)</f>
        <v>6.470051769658772E-5</v>
      </c>
      <c r="U2" s="7">
        <f>$B2 * IFERROR(VLOOKUP("LULUCF|SO2|Premature mortality", US_national_yearly!$D:$AM, 29, FALSE) / VLOOKUP("LULUCF|SO2|Premature mortality", US_national_yearly!$D:$AM, 10, FALSE), 1)</f>
        <v>6.5047964764457968E-5</v>
      </c>
      <c r="V2" s="7">
        <f>$B2 * IFERROR(VLOOKUP("LULUCF|SO2|Premature mortality", US_national_yearly!$D:$AM, 30, FALSE) / VLOOKUP("LULUCF|SO2|Premature mortality", US_national_yearly!$D:$AM, 10, FALSE), 1)</f>
        <v>6.5395411832328202E-5</v>
      </c>
      <c r="W2" s="7">
        <f>$B2 * IFERROR(VLOOKUP("LULUCF|SO2|Premature mortality", US_national_yearly!$D:$AM, 31, FALSE) / VLOOKUP("LULUCF|SO2|Premature mortality", US_national_yearly!$D:$AM, 10, FALSE), 1)</f>
        <v>6.5742858900198463E-5</v>
      </c>
      <c r="X2" s="7">
        <f>$B2 * IFERROR(VLOOKUP("LULUCF|SO2|Premature mortality", US_national_yearly!$D:$AM, 32, FALSE) / VLOOKUP("LULUCF|SO2|Premature mortality", US_national_yearly!$D:$AM, 10, FALSE), 1)</f>
        <v>6.581344383479696E-5</v>
      </c>
      <c r="Y2" s="7">
        <f>$B2 * IFERROR(VLOOKUP("LULUCF|SO2|Premature mortality", US_national_yearly!$D:$AM, 33, FALSE) / VLOOKUP("LULUCF|SO2|Premature mortality", US_national_yearly!$D:$AM, 10, FALSE), 1)</f>
        <v>6.5884028769395471E-5</v>
      </c>
      <c r="Z2" s="7">
        <f>$B2 * IFERROR(VLOOKUP("LULUCF|SO2|Premature mortality", US_national_yearly!$D:$AM, 34, FALSE) / VLOOKUP("LULUCF|SO2|Premature mortality", US_national_yearly!$D:$AM, 10, FALSE), 1)</f>
        <v>6.5954613703993968E-5</v>
      </c>
      <c r="AA2" s="7">
        <f>$B2 * IFERROR(VLOOKUP("LULUCF|SO2|Premature mortality", US_national_yearly!$D:$AM, 35, FALSE) / VLOOKUP("LULUCF|SO2|Premature mortality", US_national_yearly!$D:$AM, 10, FALSE), 1)</f>
        <v>6.6025198638592478E-5</v>
      </c>
      <c r="AB2" s="7">
        <f>$B2 * IFERROR(VLOOKUP("LULUCF|SO2|Premature mortality", US_national_yearly!$D:$AM, 36, FALSE) / VLOOKUP("LULUCF|SO2|Premature mortality", US_national_yearly!$D:$AM, 10, FALSE), 1)</f>
        <v>6.6095783573190975E-5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1.5643746063056051E-7</v>
      </c>
      <c r="C3" s="7">
        <f>$B3 * IFERROR(VLOOKUP("LULUCF|SO2|Infant mortality", US_national_yearly!$D:$AM, 11, FALSE) / VLOOKUP("LULUCF|SO2|Infant mortality", US_national_yearly!$D:$AM, 10, FALSE), 1)</f>
        <v>1.5509363430867966E-7</v>
      </c>
      <c r="D3" s="7">
        <f>$B3 * IFERROR(VLOOKUP("LULUCF|SO2|Infant mortality", US_national_yearly!$D:$AM, 12, FALSE) / VLOOKUP("LULUCF|SO2|Infant mortality", US_national_yearly!$D:$AM, 10, FALSE), 1)</f>
        <v>1.5374980798679883E-7</v>
      </c>
      <c r="E3" s="7">
        <f>$B3 * IFERROR(VLOOKUP("LULUCF|SO2|Infant mortality", US_national_yearly!$D:$AM, 13, FALSE) / VLOOKUP("LULUCF|SO2|Infant mortality", US_national_yearly!$D:$AM, 10, FALSE), 1)</f>
        <v>1.5240598166491798E-7</v>
      </c>
      <c r="F3" s="7">
        <f>$B3 * IFERROR(VLOOKUP("LULUCF|SO2|Infant mortality", US_national_yearly!$D:$AM, 14, FALSE) / VLOOKUP("LULUCF|SO2|Infant mortality", US_national_yearly!$D:$AM, 10, FALSE), 1)</f>
        <v>1.5106215534303716E-7</v>
      </c>
      <c r="G3" s="7">
        <f>$B3 * IFERROR(VLOOKUP("LULUCF|SO2|Infant mortality", US_national_yearly!$D:$AM, 15, FALSE) / VLOOKUP("LULUCF|SO2|Infant mortality", US_national_yearly!$D:$AM, 10, FALSE), 1)</f>
        <v>1.0061956224323666E-7</v>
      </c>
      <c r="H3" s="7">
        <f>$B3 * IFERROR(VLOOKUP("LULUCF|SO2|Infant mortality", US_national_yearly!$D:$AM, 16, FALSE) / VLOOKUP("LULUCF|SO2|Infant mortality", US_national_yearly!$D:$AM, 10, FALSE), 1)</f>
        <v>5.0176969143436235E-8</v>
      </c>
      <c r="I3" s="7">
        <f>$B3 * IFERROR(VLOOKUP("LULUCF|SO2|Infant mortality", US_national_yearly!$D:$AM, 17, FALSE) / VLOOKUP("LULUCF|SO2|Infant mortality", US_national_yearly!$D:$AM, 10, FALSE), 1)</f>
        <v>4.9862193863855702E-8</v>
      </c>
      <c r="J3" s="7">
        <f>$B3 * IFERROR(VLOOKUP("LULUCF|SO2|Infant mortality", US_national_yearly!$D:$AM, 18, FALSE) / VLOOKUP("LULUCF|SO2|Infant mortality", US_national_yearly!$D:$AM, 10, FALSE), 1)</f>
        <v>4.9547418584275169E-8</v>
      </c>
      <c r="K3" s="7">
        <f>$B3 * IFERROR(VLOOKUP("LULUCF|SO2|Infant mortality", US_national_yearly!$D:$AM, 19, FALSE) / VLOOKUP("LULUCF|SO2|Infant mortality", US_national_yearly!$D:$AM, 10, FALSE), 1)</f>
        <v>4.9232643304694636E-8</v>
      </c>
      <c r="L3" s="7">
        <f>$B3 * IFERROR(VLOOKUP("LULUCF|SO2|Infant mortality", US_national_yearly!$D:$AM, 20, FALSE) / VLOOKUP("LULUCF|SO2|Infant mortality", US_national_yearly!$D:$AM, 10, FALSE), 1)</f>
        <v>4.8917868025114109E-8</v>
      </c>
      <c r="M3" s="7">
        <f>$B3 * IFERROR(VLOOKUP("LULUCF|SO2|Infant mortality", US_national_yearly!$D:$AM, 21, FALSE) / VLOOKUP("LULUCF|SO2|Infant mortality", US_national_yearly!$D:$AM, 10, FALSE), 1)</f>
        <v>4.8603092745533576E-8</v>
      </c>
      <c r="N3" s="7">
        <f>$B3 * IFERROR(VLOOKUP("LULUCF|SO2|Infant mortality", US_national_yearly!$D:$AM, 22, FALSE) / VLOOKUP("LULUCF|SO2|Infant mortality", US_national_yearly!$D:$AM, 10, FALSE), 1)</f>
        <v>4.8405510659157075E-8</v>
      </c>
      <c r="O3" s="7">
        <f>$B3 * IFERROR(VLOOKUP("LULUCF|SO2|Infant mortality", US_national_yearly!$D:$AM, 23, FALSE) / VLOOKUP("LULUCF|SO2|Infant mortality", US_national_yearly!$D:$AM, 10, FALSE), 1)</f>
        <v>4.8207928572780567E-8</v>
      </c>
      <c r="P3" s="7">
        <f>$B3 * IFERROR(VLOOKUP("LULUCF|SO2|Infant mortality", US_national_yearly!$D:$AM, 24, FALSE) / VLOOKUP("LULUCF|SO2|Infant mortality", US_national_yearly!$D:$AM, 10, FALSE), 1)</f>
        <v>4.801034648640406E-8</v>
      </c>
      <c r="Q3" s="7">
        <f>$B3 * IFERROR(VLOOKUP("LULUCF|SO2|Infant mortality", US_national_yearly!$D:$AM, 25, FALSE) / VLOOKUP("LULUCF|SO2|Infant mortality", US_national_yearly!$D:$AM, 10, FALSE), 1)</f>
        <v>4.7812764400027552E-8</v>
      </c>
      <c r="R3" s="7">
        <f>$B3 * IFERROR(VLOOKUP("LULUCF|SO2|Infant mortality", US_national_yearly!$D:$AM, 26, FALSE) / VLOOKUP("LULUCF|SO2|Infant mortality", US_national_yearly!$D:$AM, 10, FALSE), 1)</f>
        <v>4.7615182313651038E-8</v>
      </c>
      <c r="S3" s="7">
        <f>$B3 * IFERROR(VLOOKUP("LULUCF|SO2|Infant mortality", US_national_yearly!$D:$AM, 27, FALSE) / VLOOKUP("LULUCF|SO2|Infant mortality", US_national_yearly!$D:$AM, 10, FALSE), 1)</f>
        <v>4.7367105967246974E-8</v>
      </c>
      <c r="T3" s="7">
        <f>$B3 * IFERROR(VLOOKUP("LULUCF|SO2|Infant mortality", US_national_yearly!$D:$AM, 28, FALSE) / VLOOKUP("LULUCF|SO2|Infant mortality", US_national_yearly!$D:$AM, 10, FALSE), 1)</f>
        <v>4.7119029620842909E-8</v>
      </c>
      <c r="U3" s="7">
        <f>$B3 * IFERROR(VLOOKUP("LULUCF|SO2|Infant mortality", US_national_yearly!$D:$AM, 29, FALSE) / VLOOKUP("LULUCF|SO2|Infant mortality", US_national_yearly!$D:$AM, 10, FALSE), 1)</f>
        <v>4.6870953274438825E-8</v>
      </c>
      <c r="V3" s="7">
        <f>$B3 * IFERROR(VLOOKUP("LULUCF|SO2|Infant mortality", US_national_yearly!$D:$AM, 30, FALSE) / VLOOKUP("LULUCF|SO2|Infant mortality", US_national_yearly!$D:$AM, 10, FALSE), 1)</f>
        <v>4.6622876928034768E-8</v>
      </c>
      <c r="W3" s="7">
        <f>$B3 * IFERROR(VLOOKUP("LULUCF|SO2|Infant mortality", US_national_yearly!$D:$AM, 31, FALSE) / VLOOKUP("LULUCF|SO2|Infant mortality", US_national_yearly!$D:$AM, 10, FALSE), 1)</f>
        <v>4.6374800581630697E-8</v>
      </c>
      <c r="X3" s="7">
        <f>$B3 * IFERROR(VLOOKUP("LULUCF|SO2|Infant mortality", US_national_yearly!$D:$AM, 32, FALSE) / VLOOKUP("LULUCF|SO2|Infant mortality", US_national_yearly!$D:$AM, 10, FALSE), 1)</f>
        <v>4.6103576560771245E-8</v>
      </c>
      <c r="Y3" s="7">
        <f>$B3 * IFERROR(VLOOKUP("LULUCF|SO2|Infant mortality", US_national_yearly!$D:$AM, 33, FALSE) / VLOOKUP("LULUCF|SO2|Infant mortality", US_national_yearly!$D:$AM, 10, FALSE), 1)</f>
        <v>4.5832352539911774E-8</v>
      </c>
      <c r="Z3" s="7">
        <f>$B3 * IFERROR(VLOOKUP("LULUCF|SO2|Infant mortality", US_national_yearly!$D:$AM, 34, FALSE) / VLOOKUP("LULUCF|SO2|Infant mortality", US_national_yearly!$D:$AM, 10, FALSE), 1)</f>
        <v>4.5561128519052322E-8</v>
      </c>
      <c r="AA3" s="7">
        <f>$B3 * IFERROR(VLOOKUP("LULUCF|SO2|Infant mortality", US_national_yearly!$D:$AM, 35, FALSE) / VLOOKUP("LULUCF|SO2|Infant mortality", US_national_yearly!$D:$AM, 10, FALSE), 1)</f>
        <v>4.528990449819285E-8</v>
      </c>
      <c r="AB3" s="7">
        <f>$B3 * IFERROR(VLOOKUP("LULUCF|SO2|Infant mortality", US_national_yearly!$D:$AM, 36, FALSE) / VLOOKUP("LULUCF|SO2|Infant mortality", US_national_yearly!$D:$AM, 10, FALSE), 1)</f>
        <v>4.5018680477333398E-8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1.6168344514203535E-4</v>
      </c>
      <c r="C6" s="7">
        <f>$B6 * IFERROR(VLOOKUP("LULUCF|SO2|Asthma symptoms cough", US_national_yearly!$D:$AM, 11, FALSE) / VLOOKUP("LULUCF|SO2|Asthma symptoms cough", US_national_yearly!$D:$AM, 10, FALSE), 1)</f>
        <v>1.6168344514203535E-4</v>
      </c>
      <c r="D6" s="7">
        <f>$B6 * IFERROR(VLOOKUP("LULUCF|SO2|Asthma symptoms cough", US_national_yearly!$D:$AM, 12, FALSE) / VLOOKUP("LULUCF|SO2|Asthma symptoms cough", US_national_yearly!$D:$AM, 10, FALSE), 1)</f>
        <v>1.6168344514203535E-4</v>
      </c>
      <c r="E6" s="7">
        <f>$B6 * IFERROR(VLOOKUP("LULUCF|SO2|Asthma symptoms cough", US_national_yearly!$D:$AM, 13, FALSE) / VLOOKUP("LULUCF|SO2|Asthma symptoms cough", US_national_yearly!$D:$AM, 10, FALSE), 1)</f>
        <v>1.6168344514203535E-4</v>
      </c>
      <c r="F6" s="7">
        <f>$B6 * IFERROR(VLOOKUP("LULUCF|SO2|Asthma symptoms cough", US_national_yearly!$D:$AM, 14, FALSE) / VLOOKUP("LULUCF|SO2|Asthma symptoms cough", US_national_yearly!$D:$AM, 10, FALSE), 1)</f>
        <v>1.6168344514203535E-4</v>
      </c>
      <c r="G6" s="7">
        <f>$B6 * IFERROR(VLOOKUP("LULUCF|SO2|Asthma symptoms cough", US_national_yearly!$D:$AM, 15, FALSE) / VLOOKUP("LULUCF|SO2|Asthma symptoms cough", US_national_yearly!$D:$AM, 10, FALSE), 1)</f>
        <v>1.6168344514203535E-4</v>
      </c>
      <c r="H6" s="7">
        <f>$B6 * IFERROR(VLOOKUP("LULUCF|SO2|Asthma symptoms cough", US_national_yearly!$D:$AM, 16, FALSE) / VLOOKUP("LULUCF|SO2|Asthma symptoms cough", US_national_yearly!$D:$AM, 10, FALSE), 1)</f>
        <v>1.6168344514203535E-4</v>
      </c>
      <c r="I6" s="7">
        <f>$B6 * IFERROR(VLOOKUP("LULUCF|SO2|Asthma symptoms cough", US_national_yearly!$D:$AM, 17, FALSE) / VLOOKUP("LULUCF|SO2|Asthma symptoms cough", US_national_yearly!$D:$AM, 10, FALSE), 1)</f>
        <v>1.6168344514203535E-4</v>
      </c>
      <c r="J6" s="7">
        <f>$B6 * IFERROR(VLOOKUP("LULUCF|SO2|Asthma symptoms cough", US_national_yearly!$D:$AM, 18, FALSE) / VLOOKUP("LULUCF|SO2|Asthma symptoms cough", US_national_yearly!$D:$AM, 10, FALSE), 1)</f>
        <v>1.6168344514203535E-4</v>
      </c>
      <c r="K6" s="7">
        <f>$B6 * IFERROR(VLOOKUP("LULUCF|SO2|Asthma symptoms cough", US_national_yearly!$D:$AM, 19, FALSE) / VLOOKUP("LULUCF|SO2|Asthma symptoms cough", US_national_yearly!$D:$AM, 10, FALSE), 1)</f>
        <v>1.6168344514203535E-4</v>
      </c>
      <c r="L6" s="7">
        <f>$B6 * IFERROR(VLOOKUP("LULUCF|SO2|Asthma symptoms cough", US_national_yearly!$D:$AM, 20, FALSE) / VLOOKUP("LULUCF|SO2|Asthma symptoms cough", US_national_yearly!$D:$AM, 10, FALSE), 1)</f>
        <v>1.6168344514203535E-4</v>
      </c>
      <c r="M6" s="7">
        <f>$B6 * IFERROR(VLOOKUP("LULUCF|SO2|Asthma symptoms cough", US_national_yearly!$D:$AM, 21, FALSE) / VLOOKUP("LULUCF|SO2|Asthma symptoms cough", US_national_yearly!$D:$AM, 10, FALSE), 1)</f>
        <v>1.6168344514203535E-4</v>
      </c>
      <c r="N6" s="7">
        <f>$B6 * IFERROR(VLOOKUP("LULUCF|SO2|Asthma symptoms cough", US_national_yearly!$D:$AM, 22, FALSE) / VLOOKUP("LULUCF|SO2|Asthma symptoms cough", US_national_yearly!$D:$AM, 10, FALSE), 1)</f>
        <v>1.6168344514203535E-4</v>
      </c>
      <c r="O6" s="7">
        <f>$B6 * IFERROR(VLOOKUP("LULUCF|SO2|Asthma symptoms cough", US_national_yearly!$D:$AM, 23, FALSE) / VLOOKUP("LULUCF|SO2|Asthma symptoms cough", US_national_yearly!$D:$AM, 10, FALSE), 1)</f>
        <v>1.6168344514203535E-4</v>
      </c>
      <c r="P6" s="7">
        <f>$B6 * IFERROR(VLOOKUP("LULUCF|SO2|Asthma symptoms cough", US_national_yearly!$D:$AM, 24, FALSE) / VLOOKUP("LULUCF|SO2|Asthma symptoms cough", US_national_yearly!$D:$AM, 10, FALSE), 1)</f>
        <v>1.6168344514203535E-4</v>
      </c>
      <c r="Q6" s="7">
        <f>$B6 * IFERROR(VLOOKUP("LULUCF|SO2|Asthma symptoms cough", US_national_yearly!$D:$AM, 25, FALSE) / VLOOKUP("LULUCF|SO2|Asthma symptoms cough", US_national_yearly!$D:$AM, 10, FALSE), 1)</f>
        <v>1.6168344514203535E-4</v>
      </c>
      <c r="R6" s="7">
        <f>$B6 * IFERROR(VLOOKUP("LULUCF|SO2|Asthma symptoms cough", US_national_yearly!$D:$AM, 26, FALSE) / VLOOKUP("LULUCF|SO2|Asthma symptoms cough", US_national_yearly!$D:$AM, 10, FALSE), 1)</f>
        <v>1.6168344514203535E-4</v>
      </c>
      <c r="S6" s="7">
        <f>$B6 * IFERROR(VLOOKUP("LULUCF|SO2|Asthma symptoms cough", US_national_yearly!$D:$AM, 27, FALSE) / VLOOKUP("LULUCF|SO2|Asthma symptoms cough", US_national_yearly!$D:$AM, 10, FALSE), 1)</f>
        <v>1.6168344514203535E-4</v>
      </c>
      <c r="T6" s="7">
        <f>$B6 * IFERROR(VLOOKUP("LULUCF|SO2|Asthma symptoms cough", US_national_yearly!$D:$AM, 28, FALSE) / VLOOKUP("LULUCF|SO2|Asthma symptoms cough", US_national_yearly!$D:$AM, 10, FALSE), 1)</f>
        <v>1.6168344514203535E-4</v>
      </c>
      <c r="U6" s="7">
        <f>$B6 * IFERROR(VLOOKUP("LULUCF|SO2|Asthma symptoms cough", US_national_yearly!$D:$AM, 29, FALSE) / VLOOKUP("LULUCF|SO2|Asthma symptoms cough", US_national_yearly!$D:$AM, 10, FALSE), 1)</f>
        <v>1.6168344514203535E-4</v>
      </c>
      <c r="V6" s="7">
        <f>$B6 * IFERROR(VLOOKUP("LULUCF|SO2|Asthma symptoms cough", US_national_yearly!$D:$AM, 30, FALSE) / VLOOKUP("LULUCF|SO2|Asthma symptoms cough", US_national_yearly!$D:$AM, 10, FALSE), 1)</f>
        <v>1.6168344514203535E-4</v>
      </c>
      <c r="W6" s="7">
        <f>$B6 * IFERROR(VLOOKUP("LULUCF|SO2|Asthma symptoms cough", US_national_yearly!$D:$AM, 31, FALSE) / VLOOKUP("LULUCF|SO2|Asthma symptoms cough", US_national_yearly!$D:$AM, 10, FALSE), 1)</f>
        <v>1.6168344514203535E-4</v>
      </c>
      <c r="X6" s="7">
        <f>$B6 * IFERROR(VLOOKUP("LULUCF|SO2|Asthma symptoms cough", US_national_yearly!$D:$AM, 32, FALSE) / VLOOKUP("LULUCF|SO2|Asthma symptoms cough", US_national_yearly!$D:$AM, 10, FALSE), 1)</f>
        <v>1.6168344514203535E-4</v>
      </c>
      <c r="Y6" s="7">
        <f>$B6 * IFERROR(VLOOKUP("LULUCF|SO2|Asthma symptoms cough", US_national_yearly!$D:$AM, 33, FALSE) / VLOOKUP("LULUCF|SO2|Asthma symptoms cough", US_national_yearly!$D:$AM, 10, FALSE), 1)</f>
        <v>1.6168344514203535E-4</v>
      </c>
      <c r="Z6" s="7">
        <f>$B6 * IFERROR(VLOOKUP("LULUCF|SO2|Asthma symptoms cough", US_national_yearly!$D:$AM, 34, FALSE) / VLOOKUP("LULUCF|SO2|Asthma symptoms cough", US_national_yearly!$D:$AM, 10, FALSE), 1)</f>
        <v>1.6168344514203535E-4</v>
      </c>
      <c r="AA6" s="7">
        <f>$B6 * IFERROR(VLOOKUP("LULUCF|SO2|Asthma symptoms cough", US_national_yearly!$D:$AM, 35, FALSE) / VLOOKUP("LULUCF|SO2|Asthma symptoms cough", US_national_yearly!$D:$AM, 10, FALSE), 1)</f>
        <v>1.6168344514203535E-4</v>
      </c>
      <c r="AB6" s="7">
        <f>$B6 * IFERROR(VLOOKUP("LULUCF|SO2|Asthma symptoms cough", US_national_yearly!$D:$AM, 36, FALSE) / VLOOKUP("LULUCF|SO2|Asthma symptoms cough", US_national_yearly!$D:$AM, 10, FALSE), 1)</f>
        <v>1.6168344514203535E-4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2.1773034196824513E-4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2.1773034196824513E-4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2.1773034196824513E-4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2.1773034196824513E-4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2.1773034196824513E-4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2.1773034196824513E-4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2.1773034196824513E-4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2.1773034196824513E-4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2.1773034196824513E-4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2.1773034196824513E-4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2.1773034196824513E-4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2.1773034196824513E-4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2.1773034196824513E-4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2.1773034196824513E-4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2.1773034196824513E-4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2.1773034196824513E-4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2.1773034196824513E-4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2.1773034196824513E-4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2.1773034196824513E-4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2.1773034196824513E-4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2.1773034196824513E-4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2.1773034196824513E-4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2.1773034196824513E-4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2.1773034196824513E-4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2.1773034196824513E-4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2.1773034196824513E-4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2.1773034196824513E-4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3.326546276782368E-4</v>
      </c>
      <c r="C8" s="7">
        <f>$B8 * IFERROR(VLOOKUP("LULUCF|SO2|Asthma symptoms wheeze", US_national_yearly!$D:$AM, 11, FALSE) / VLOOKUP("LULUCF|SO2|Asthma symptoms wheeze", US_national_yearly!$D:$AM, 10, FALSE), 1)</f>
        <v>3.326546276782368E-4</v>
      </c>
      <c r="D8" s="7">
        <f>$B8 * IFERROR(VLOOKUP("LULUCF|SO2|Asthma symptoms wheeze", US_national_yearly!$D:$AM, 12, FALSE) / VLOOKUP("LULUCF|SO2|Asthma symptoms wheeze", US_national_yearly!$D:$AM, 10, FALSE), 1)</f>
        <v>3.326546276782368E-4</v>
      </c>
      <c r="E8" s="7">
        <f>$B8 * IFERROR(VLOOKUP("LULUCF|SO2|Asthma symptoms wheeze", US_national_yearly!$D:$AM, 13, FALSE) / VLOOKUP("LULUCF|SO2|Asthma symptoms wheeze", US_national_yearly!$D:$AM, 10, FALSE), 1)</f>
        <v>3.326546276782368E-4</v>
      </c>
      <c r="F8" s="7">
        <f>$B8 * IFERROR(VLOOKUP("LULUCF|SO2|Asthma symptoms wheeze", US_national_yearly!$D:$AM, 14, FALSE) / VLOOKUP("LULUCF|SO2|Asthma symptoms wheeze", US_national_yearly!$D:$AM, 10, FALSE), 1)</f>
        <v>3.326546276782368E-4</v>
      </c>
      <c r="G8" s="7">
        <f>$B8 * IFERROR(VLOOKUP("LULUCF|SO2|Asthma symptoms wheeze", US_national_yearly!$D:$AM, 15, FALSE) / VLOOKUP("LULUCF|SO2|Asthma symptoms wheeze", US_national_yearly!$D:$AM, 10, FALSE), 1)</f>
        <v>3.326546276782368E-4</v>
      </c>
      <c r="H8" s="7">
        <f>$B8 * IFERROR(VLOOKUP("LULUCF|SO2|Asthma symptoms wheeze", US_national_yearly!$D:$AM, 16, FALSE) / VLOOKUP("LULUCF|SO2|Asthma symptoms wheeze", US_national_yearly!$D:$AM, 10, FALSE), 1)</f>
        <v>3.326546276782368E-4</v>
      </c>
      <c r="I8" s="7">
        <f>$B8 * IFERROR(VLOOKUP("LULUCF|SO2|Asthma symptoms wheeze", US_national_yearly!$D:$AM, 17, FALSE) / VLOOKUP("LULUCF|SO2|Asthma symptoms wheeze", US_national_yearly!$D:$AM, 10, FALSE), 1)</f>
        <v>3.326546276782368E-4</v>
      </c>
      <c r="J8" s="7">
        <f>$B8 * IFERROR(VLOOKUP("LULUCF|SO2|Asthma symptoms wheeze", US_national_yearly!$D:$AM, 18, FALSE) / VLOOKUP("LULUCF|SO2|Asthma symptoms wheeze", US_national_yearly!$D:$AM, 10, FALSE), 1)</f>
        <v>3.326546276782368E-4</v>
      </c>
      <c r="K8" s="7">
        <f>$B8 * IFERROR(VLOOKUP("LULUCF|SO2|Asthma symptoms wheeze", US_national_yearly!$D:$AM, 19, FALSE) / VLOOKUP("LULUCF|SO2|Asthma symptoms wheeze", US_national_yearly!$D:$AM, 10, FALSE), 1)</f>
        <v>3.326546276782368E-4</v>
      </c>
      <c r="L8" s="7">
        <f>$B8 * IFERROR(VLOOKUP("LULUCF|SO2|Asthma symptoms wheeze", US_national_yearly!$D:$AM, 20, FALSE) / VLOOKUP("LULUCF|SO2|Asthma symptoms wheeze", US_national_yearly!$D:$AM, 10, FALSE), 1)</f>
        <v>3.326546276782368E-4</v>
      </c>
      <c r="M8" s="7">
        <f>$B8 * IFERROR(VLOOKUP("LULUCF|SO2|Asthma symptoms wheeze", US_national_yearly!$D:$AM, 21, FALSE) / VLOOKUP("LULUCF|SO2|Asthma symptoms wheeze", US_national_yearly!$D:$AM, 10, FALSE), 1)</f>
        <v>3.326546276782368E-4</v>
      </c>
      <c r="N8" s="7">
        <f>$B8 * IFERROR(VLOOKUP("LULUCF|SO2|Asthma symptoms wheeze", US_national_yearly!$D:$AM, 22, FALSE) / VLOOKUP("LULUCF|SO2|Asthma symptoms wheeze", US_national_yearly!$D:$AM, 10, FALSE), 1)</f>
        <v>3.326546276782368E-4</v>
      </c>
      <c r="O8" s="7">
        <f>$B8 * IFERROR(VLOOKUP("LULUCF|SO2|Asthma symptoms wheeze", US_national_yearly!$D:$AM, 23, FALSE) / VLOOKUP("LULUCF|SO2|Asthma symptoms wheeze", US_national_yearly!$D:$AM, 10, FALSE), 1)</f>
        <v>3.326546276782368E-4</v>
      </c>
      <c r="P8" s="7">
        <f>$B8 * IFERROR(VLOOKUP("LULUCF|SO2|Asthma symptoms wheeze", US_national_yearly!$D:$AM, 24, FALSE) / VLOOKUP("LULUCF|SO2|Asthma symptoms wheeze", US_national_yearly!$D:$AM, 10, FALSE), 1)</f>
        <v>3.326546276782368E-4</v>
      </c>
      <c r="Q8" s="7">
        <f>$B8 * IFERROR(VLOOKUP("LULUCF|SO2|Asthma symptoms wheeze", US_national_yearly!$D:$AM, 25, FALSE) / VLOOKUP("LULUCF|SO2|Asthma symptoms wheeze", US_national_yearly!$D:$AM, 10, FALSE), 1)</f>
        <v>3.326546276782368E-4</v>
      </c>
      <c r="R8" s="7">
        <f>$B8 * IFERROR(VLOOKUP("LULUCF|SO2|Asthma symptoms wheeze", US_national_yearly!$D:$AM, 26, FALSE) / VLOOKUP("LULUCF|SO2|Asthma symptoms wheeze", US_national_yearly!$D:$AM, 10, FALSE), 1)</f>
        <v>3.326546276782368E-4</v>
      </c>
      <c r="S8" s="7">
        <f>$B8 * IFERROR(VLOOKUP("LULUCF|SO2|Asthma symptoms wheeze", US_national_yearly!$D:$AM, 27, FALSE) / VLOOKUP("LULUCF|SO2|Asthma symptoms wheeze", US_national_yearly!$D:$AM, 10, FALSE), 1)</f>
        <v>3.326546276782368E-4</v>
      </c>
      <c r="T8" s="7">
        <f>$B8 * IFERROR(VLOOKUP("LULUCF|SO2|Asthma symptoms wheeze", US_national_yearly!$D:$AM, 28, FALSE) / VLOOKUP("LULUCF|SO2|Asthma symptoms wheeze", US_national_yearly!$D:$AM, 10, FALSE), 1)</f>
        <v>3.326546276782368E-4</v>
      </c>
      <c r="U8" s="7">
        <f>$B8 * IFERROR(VLOOKUP("LULUCF|SO2|Asthma symptoms wheeze", US_national_yearly!$D:$AM, 29, FALSE) / VLOOKUP("LULUCF|SO2|Asthma symptoms wheeze", US_national_yearly!$D:$AM, 10, FALSE), 1)</f>
        <v>3.326546276782368E-4</v>
      </c>
      <c r="V8" s="7">
        <f>$B8 * IFERROR(VLOOKUP("LULUCF|SO2|Asthma symptoms wheeze", US_national_yearly!$D:$AM, 30, FALSE) / VLOOKUP("LULUCF|SO2|Asthma symptoms wheeze", US_national_yearly!$D:$AM, 10, FALSE), 1)</f>
        <v>3.326546276782368E-4</v>
      </c>
      <c r="W8" s="7">
        <f>$B8 * IFERROR(VLOOKUP("LULUCF|SO2|Asthma symptoms wheeze", US_national_yearly!$D:$AM, 31, FALSE) / VLOOKUP("LULUCF|SO2|Asthma symptoms wheeze", US_national_yearly!$D:$AM, 10, FALSE), 1)</f>
        <v>3.326546276782368E-4</v>
      </c>
      <c r="X8" s="7">
        <f>$B8 * IFERROR(VLOOKUP("LULUCF|SO2|Asthma symptoms wheeze", US_national_yearly!$D:$AM, 32, FALSE) / VLOOKUP("LULUCF|SO2|Asthma symptoms wheeze", US_national_yearly!$D:$AM, 10, FALSE), 1)</f>
        <v>3.326546276782368E-4</v>
      </c>
      <c r="Y8" s="7">
        <f>$B8 * IFERROR(VLOOKUP("LULUCF|SO2|Asthma symptoms wheeze", US_national_yearly!$D:$AM, 33, FALSE) / VLOOKUP("LULUCF|SO2|Asthma symptoms wheeze", US_national_yearly!$D:$AM, 10, FALSE), 1)</f>
        <v>3.326546276782368E-4</v>
      </c>
      <c r="Z8" s="7">
        <f>$B8 * IFERROR(VLOOKUP("LULUCF|SO2|Asthma symptoms wheeze", US_national_yearly!$D:$AM, 34, FALSE) / VLOOKUP("LULUCF|SO2|Asthma symptoms wheeze", US_national_yearly!$D:$AM, 10, FALSE), 1)</f>
        <v>3.326546276782368E-4</v>
      </c>
      <c r="AA8" s="7">
        <f>$B8 * IFERROR(VLOOKUP("LULUCF|SO2|Asthma symptoms wheeze", US_national_yearly!$D:$AM, 35, FALSE) / VLOOKUP("LULUCF|SO2|Asthma symptoms wheeze", US_national_yearly!$D:$AM, 10, FALSE), 1)</f>
        <v>3.326546276782368E-4</v>
      </c>
      <c r="AB8" s="7">
        <f>$B8 * IFERROR(VLOOKUP("LULUCF|SO2|Asthma symptoms wheeze", US_national_yearly!$D:$AM, 36, FALSE) / VLOOKUP("LULUCF|SO2|Asthma symptoms wheeze", US_national_yearly!$D:$AM, 10, FALSE), 1)</f>
        <v>3.326546276782368E-4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3.3558507785228327E-6</v>
      </c>
      <c r="C12" s="7">
        <f>$B12 * IFERROR(VLOOKUP("LULUCF|SO2|Respiratory hospital admissions", US_national_yearly!$D:$AM, 11, FALSE) / VLOOKUP("LULUCF|SO2|Respiratory hospital admissions", US_national_yearly!$D:$AM, 10, FALSE), 1)</f>
        <v>3.3756437531832273E-6</v>
      </c>
      <c r="D12" s="7">
        <f>$B12 * IFERROR(VLOOKUP("LULUCF|SO2|Respiratory hospital admissions", US_national_yearly!$D:$AM, 12, FALSE) / VLOOKUP("LULUCF|SO2|Respiratory hospital admissions", US_national_yearly!$D:$AM, 10, FALSE), 1)</f>
        <v>3.3954367278436224E-6</v>
      </c>
      <c r="E12" s="7">
        <f>$B12 * IFERROR(VLOOKUP("LULUCF|SO2|Respiratory hospital admissions", US_national_yearly!$D:$AM, 13, FALSE) / VLOOKUP("LULUCF|SO2|Respiratory hospital admissions", US_national_yearly!$D:$AM, 10, FALSE), 1)</f>
        <v>3.4152297025040171E-6</v>
      </c>
      <c r="F12" s="7">
        <f>$B12 * IFERROR(VLOOKUP("LULUCF|SO2|Respiratory hospital admissions", US_national_yearly!$D:$AM, 14, FALSE) / VLOOKUP("LULUCF|SO2|Respiratory hospital admissions", US_national_yearly!$D:$AM, 10, FALSE), 1)</f>
        <v>3.4350226771644118E-6</v>
      </c>
      <c r="G12" s="7">
        <f>$B12 * IFERROR(VLOOKUP("LULUCF|SO2|Respiratory hospital admissions", US_national_yearly!$D:$AM, 15, FALSE) / VLOOKUP("LULUCF|SO2|Respiratory hospital admissions", US_national_yearly!$D:$AM, 10, FALSE), 1)</f>
        <v>3.4566003580449668E-6</v>
      </c>
      <c r="H12" s="7">
        <f>$B12 * IFERROR(VLOOKUP("LULUCF|SO2|Respiratory hospital admissions", US_national_yearly!$D:$AM, 16, FALSE) / VLOOKUP("LULUCF|SO2|Respiratory hospital admissions", US_national_yearly!$D:$AM, 10, FALSE), 1)</f>
        <v>3.4781780389255217E-6</v>
      </c>
      <c r="I12" s="7">
        <f>$B12 * IFERROR(VLOOKUP("LULUCF|SO2|Respiratory hospital admissions", US_national_yearly!$D:$AM, 17, FALSE) / VLOOKUP("LULUCF|SO2|Respiratory hospital admissions", US_national_yearly!$D:$AM, 10, FALSE), 1)</f>
        <v>3.4994562014015609E-6</v>
      </c>
      <c r="J12" s="7">
        <f>$B12 * IFERROR(VLOOKUP("LULUCF|SO2|Respiratory hospital admissions", US_national_yearly!$D:$AM, 18, FALSE) / VLOOKUP("LULUCF|SO2|Respiratory hospital admissions", US_national_yearly!$D:$AM, 10, FALSE), 1)</f>
        <v>3.5207343638776009E-6</v>
      </c>
      <c r="K12" s="7">
        <f>$B12 * IFERROR(VLOOKUP("LULUCF|SO2|Respiratory hospital admissions", US_national_yearly!$D:$AM, 19, FALSE) / VLOOKUP("LULUCF|SO2|Respiratory hospital admissions", US_national_yearly!$D:$AM, 10, FALSE), 1)</f>
        <v>3.5420125263536393E-6</v>
      </c>
      <c r="L12" s="7">
        <f>$B12 * IFERROR(VLOOKUP("LULUCF|SO2|Respiratory hospital admissions", US_national_yearly!$D:$AM, 20, FALSE) / VLOOKUP("LULUCF|SO2|Respiratory hospital admissions", US_national_yearly!$D:$AM, 10, FALSE), 1)</f>
        <v>3.5632906888296793E-6</v>
      </c>
      <c r="M12" s="7">
        <f>$B12 * IFERROR(VLOOKUP("LULUCF|SO2|Respiratory hospital admissions", US_national_yearly!$D:$AM, 21, FALSE) / VLOOKUP("LULUCF|SO2|Respiratory hospital admissions", US_national_yearly!$D:$AM, 10, FALSE), 1)</f>
        <v>3.5845688513057176E-6</v>
      </c>
      <c r="N12" s="7">
        <f>$B12 * IFERROR(VLOOKUP("LULUCF|SO2|Respiratory hospital admissions", US_national_yearly!$D:$AM, 22, FALSE) / VLOOKUP("LULUCF|SO2|Respiratory hospital admissions", US_national_yearly!$D:$AM, 10, FALSE), 1)</f>
        <v>3.6001012530861897E-6</v>
      </c>
      <c r="O12" s="7">
        <f>$B12 * IFERROR(VLOOKUP("LULUCF|SO2|Respiratory hospital admissions", US_national_yearly!$D:$AM, 23, FALSE) / VLOOKUP("LULUCF|SO2|Respiratory hospital admissions", US_national_yearly!$D:$AM, 10, FALSE), 1)</f>
        <v>3.6156336548666613E-6</v>
      </c>
      <c r="P12" s="7">
        <f>$B12 * IFERROR(VLOOKUP("LULUCF|SO2|Respiratory hospital admissions", US_national_yearly!$D:$AM, 24, FALSE) / VLOOKUP("LULUCF|SO2|Respiratory hospital admissions", US_national_yearly!$D:$AM, 10, FALSE), 1)</f>
        <v>3.6311660566471329E-6</v>
      </c>
      <c r="Q12" s="7">
        <f>$B12 * IFERROR(VLOOKUP("LULUCF|SO2|Respiratory hospital admissions", US_national_yearly!$D:$AM, 25, FALSE) / VLOOKUP("LULUCF|SO2|Respiratory hospital admissions", US_national_yearly!$D:$AM, 10, FALSE), 1)</f>
        <v>3.6466984584276054E-6</v>
      </c>
      <c r="R12" s="7">
        <f>$B12 * IFERROR(VLOOKUP("LULUCF|SO2|Respiratory hospital admissions", US_national_yearly!$D:$AM, 26, FALSE) / VLOOKUP("LULUCF|SO2|Respiratory hospital admissions", US_national_yearly!$D:$AM, 10, FALSE), 1)</f>
        <v>3.662230860208077E-6</v>
      </c>
      <c r="S12" s="7">
        <f>$B12 * IFERROR(VLOOKUP("LULUCF|SO2|Respiratory hospital admissions", US_national_yearly!$D:$AM, 27, FALSE) / VLOOKUP("LULUCF|SO2|Respiratory hospital admissions", US_national_yearly!$D:$AM, 10, FALSE), 1)</f>
        <v>3.6770475863509488E-6</v>
      </c>
      <c r="T12" s="7">
        <f>$B12 * IFERROR(VLOOKUP("LULUCF|SO2|Respiratory hospital admissions", US_national_yearly!$D:$AM, 28, FALSE) / VLOOKUP("LULUCF|SO2|Respiratory hospital admissions", US_national_yearly!$D:$AM, 10, FALSE), 1)</f>
        <v>3.6918643124938201E-6</v>
      </c>
      <c r="U12" s="7">
        <f>$B12 * IFERROR(VLOOKUP("LULUCF|SO2|Respiratory hospital admissions", US_national_yearly!$D:$AM, 29, FALSE) / VLOOKUP("LULUCF|SO2|Respiratory hospital admissions", US_national_yearly!$D:$AM, 10, FALSE), 1)</f>
        <v>3.7066810386366919E-6</v>
      </c>
      <c r="V12" s="7">
        <f>$B12 * IFERROR(VLOOKUP("LULUCF|SO2|Respiratory hospital admissions", US_national_yearly!$D:$AM, 30, FALSE) / VLOOKUP("LULUCF|SO2|Respiratory hospital admissions", US_national_yearly!$D:$AM, 10, FALSE), 1)</f>
        <v>3.7214977647795636E-6</v>
      </c>
      <c r="W12" s="7">
        <f>$B12 * IFERROR(VLOOKUP("LULUCF|SO2|Respiratory hospital admissions", US_national_yearly!$D:$AM, 31, FALSE) / VLOOKUP("LULUCF|SO2|Respiratory hospital admissions", US_national_yearly!$D:$AM, 10, FALSE), 1)</f>
        <v>3.7363144909224354E-6</v>
      </c>
      <c r="X12" s="7">
        <f>$B12 * IFERROR(VLOOKUP("LULUCF|SO2|Respiratory hospital admissions", US_national_yearly!$D:$AM, 32, FALSE) / VLOOKUP("LULUCF|SO2|Respiratory hospital admissions", US_national_yearly!$D:$AM, 10, FALSE), 1)</f>
        <v>3.7503731314146791E-6</v>
      </c>
      <c r="Y12" s="7">
        <f>$B12 * IFERROR(VLOOKUP("LULUCF|SO2|Respiratory hospital admissions", US_national_yearly!$D:$AM, 33, FALSE) / VLOOKUP("LULUCF|SO2|Respiratory hospital admissions", US_national_yearly!$D:$AM, 10, FALSE), 1)</f>
        <v>3.7644317719069229E-6</v>
      </c>
      <c r="Z12" s="7">
        <f>$B12 * IFERROR(VLOOKUP("LULUCF|SO2|Respiratory hospital admissions", US_national_yearly!$D:$AM, 34, FALSE) / VLOOKUP("LULUCF|SO2|Respiratory hospital admissions", US_national_yearly!$D:$AM, 10, FALSE), 1)</f>
        <v>3.7784904123991662E-6</v>
      </c>
      <c r="AA12" s="7">
        <f>$B12 * IFERROR(VLOOKUP("LULUCF|SO2|Respiratory hospital admissions", US_national_yearly!$D:$AM, 35, FALSE) / VLOOKUP("LULUCF|SO2|Respiratory hospital admissions", US_national_yearly!$D:$AM, 10, FALSE), 1)</f>
        <v>3.79254905289141E-6</v>
      </c>
      <c r="AB12" s="7">
        <f>$B12 * IFERROR(VLOOKUP("LULUCF|SO2|Respiratory hospital admissions", US_national_yearly!$D:$AM, 36, FALSE) / VLOOKUP("LULUCF|SO2|Respiratory hospital admissions", US_national_yearly!$D:$AM, 10, FALSE), 1)</f>
        <v>3.8066076933836546E-6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1.9450720287122656E-5</v>
      </c>
      <c r="C13" s="7">
        <f>$B13 * IFERROR(VLOOKUP("LULUCF|SO2|Non-fatal heart attacks", US_national_yearly!$D:$AM, 11, FALSE) / VLOOKUP("LULUCF|SO2|Non-fatal heart attacks", US_national_yearly!$D:$AM, 10, FALSE), 1)</f>
        <v>2.0021722785862761E-5</v>
      </c>
      <c r="D13" s="7">
        <f>$B13 * IFERROR(VLOOKUP("LULUCF|SO2|Non-fatal heart attacks", US_national_yearly!$D:$AM, 12, FALSE) / VLOOKUP("LULUCF|SO2|Non-fatal heart attacks", US_national_yearly!$D:$AM, 10, FALSE), 1)</f>
        <v>2.0592725284602866E-5</v>
      </c>
      <c r="E13" s="7">
        <f>$B13 * IFERROR(VLOOKUP("LULUCF|SO2|Non-fatal heart attacks", US_national_yearly!$D:$AM, 13, FALSE) / VLOOKUP("LULUCF|SO2|Non-fatal heart attacks", US_national_yearly!$D:$AM, 10, FALSE), 1)</f>
        <v>2.116372778334297E-5</v>
      </c>
      <c r="F13" s="7">
        <f>$B13 * IFERROR(VLOOKUP("LULUCF|SO2|Non-fatal heart attacks", US_national_yearly!$D:$AM, 14, FALSE) / VLOOKUP("LULUCF|SO2|Non-fatal heart attacks", US_national_yearly!$D:$AM, 10, FALSE), 1)</f>
        <v>2.1734730282083072E-5</v>
      </c>
      <c r="G13" s="7">
        <f>$B13 * IFERROR(VLOOKUP("LULUCF|SO2|Non-fatal heart attacks", US_national_yearly!$D:$AM, 15, FALSE) / VLOOKUP("LULUCF|SO2|Non-fatal heart attacks", US_national_yearly!$D:$AM, 10, FALSE), 1)</f>
        <v>2.2273238602112296E-5</v>
      </c>
      <c r="H13" s="7">
        <f>$B13 * IFERROR(VLOOKUP("LULUCF|SO2|Non-fatal heart attacks", US_national_yearly!$D:$AM, 16, FALSE) / VLOOKUP("LULUCF|SO2|Non-fatal heart attacks", US_national_yearly!$D:$AM, 10, FALSE), 1)</f>
        <v>2.281174692214152E-5</v>
      </c>
      <c r="I13" s="7">
        <f>$B13 * IFERROR(VLOOKUP("LULUCF|SO2|Non-fatal heart attacks", US_national_yearly!$D:$AM, 17, FALSE) / VLOOKUP("LULUCF|SO2|Non-fatal heart attacks", US_national_yearly!$D:$AM, 10, FALSE), 1)</f>
        <v>2.3245077305214224E-5</v>
      </c>
      <c r="J13" s="7">
        <f>$B13 * IFERROR(VLOOKUP("LULUCF|SO2|Non-fatal heart attacks", US_national_yearly!$D:$AM, 18, FALSE) / VLOOKUP("LULUCF|SO2|Non-fatal heart attacks", US_national_yearly!$D:$AM, 10, FALSE), 1)</f>
        <v>2.3678407688286934E-5</v>
      </c>
      <c r="K13" s="7">
        <f>$B13 * IFERROR(VLOOKUP("LULUCF|SO2|Non-fatal heart attacks", US_national_yearly!$D:$AM, 19, FALSE) / VLOOKUP("LULUCF|SO2|Non-fatal heart attacks", US_national_yearly!$D:$AM, 10, FALSE), 1)</f>
        <v>2.4111738071359641E-5</v>
      </c>
      <c r="L13" s="7">
        <f>$B13 * IFERROR(VLOOKUP("LULUCF|SO2|Non-fatal heart attacks", US_national_yearly!$D:$AM, 20, FALSE) / VLOOKUP("LULUCF|SO2|Non-fatal heart attacks", US_national_yearly!$D:$AM, 10, FALSE), 1)</f>
        <v>2.4545068454432355E-5</v>
      </c>
      <c r="M13" s="7">
        <f>$B13 * IFERROR(VLOOKUP("LULUCF|SO2|Non-fatal heart attacks", US_national_yearly!$D:$AM, 21, FALSE) / VLOOKUP("LULUCF|SO2|Non-fatal heart attacks", US_national_yearly!$D:$AM, 10, FALSE), 1)</f>
        <v>2.4978398837505066E-5</v>
      </c>
      <c r="N13" s="7">
        <f>$B13 * IFERROR(VLOOKUP("LULUCF|SO2|Non-fatal heart attacks", US_national_yearly!$D:$AM, 22, FALSE) / VLOOKUP("LULUCF|SO2|Non-fatal heart attacks", US_national_yearly!$D:$AM, 10, FALSE), 1)</f>
        <v>2.5259765490559795E-5</v>
      </c>
      <c r="O13" s="7">
        <f>$B13 * IFERROR(VLOOKUP("LULUCF|SO2|Non-fatal heart attacks", US_national_yearly!$D:$AM, 23, FALSE) / VLOOKUP("LULUCF|SO2|Non-fatal heart attacks", US_national_yearly!$D:$AM, 10, FALSE), 1)</f>
        <v>2.5541132143614534E-5</v>
      </c>
      <c r="P13" s="7">
        <f>$B13 * IFERROR(VLOOKUP("LULUCF|SO2|Non-fatal heart attacks", US_national_yearly!$D:$AM, 24, FALSE) / VLOOKUP("LULUCF|SO2|Non-fatal heart attacks", US_national_yearly!$D:$AM, 10, FALSE), 1)</f>
        <v>2.5822498796669269E-5</v>
      </c>
      <c r="Q13" s="7">
        <f>$B13 * IFERROR(VLOOKUP("LULUCF|SO2|Non-fatal heart attacks", US_national_yearly!$D:$AM, 25, FALSE) / VLOOKUP("LULUCF|SO2|Non-fatal heart attacks", US_national_yearly!$D:$AM, 10, FALSE), 1)</f>
        <v>2.6103865449724005E-5</v>
      </c>
      <c r="R13" s="7">
        <f>$B13 * IFERROR(VLOOKUP("LULUCF|SO2|Non-fatal heart attacks", US_national_yearly!$D:$AM, 26, FALSE) / VLOOKUP("LULUCF|SO2|Non-fatal heart attacks", US_national_yearly!$D:$AM, 10, FALSE), 1)</f>
        <v>2.6385232102778738E-5</v>
      </c>
      <c r="S13" s="7">
        <f>$B13 * IFERROR(VLOOKUP("LULUCF|SO2|Non-fatal heart attacks", US_national_yearly!$D:$AM, 27, FALSE) / VLOOKUP("LULUCF|SO2|Non-fatal heart attacks", US_national_yearly!$D:$AM, 10, FALSE), 1)</f>
        <v>2.6532132049710548E-5</v>
      </c>
      <c r="T13" s="7">
        <f>$B13 * IFERROR(VLOOKUP("LULUCF|SO2|Non-fatal heart attacks", US_national_yearly!$D:$AM, 28, FALSE) / VLOOKUP("LULUCF|SO2|Non-fatal heart attacks", US_national_yearly!$D:$AM, 10, FALSE), 1)</f>
        <v>2.6679031996642359E-5</v>
      </c>
      <c r="U13" s="7">
        <f>$B13 * IFERROR(VLOOKUP("LULUCF|SO2|Non-fatal heart attacks", US_national_yearly!$D:$AM, 29, FALSE) / VLOOKUP("LULUCF|SO2|Non-fatal heart attacks", US_national_yearly!$D:$AM, 10, FALSE), 1)</f>
        <v>2.6825931943574166E-5</v>
      </c>
      <c r="V13" s="7">
        <f>$B13 * IFERROR(VLOOKUP("LULUCF|SO2|Non-fatal heart attacks", US_national_yearly!$D:$AM, 30, FALSE) / VLOOKUP("LULUCF|SO2|Non-fatal heart attacks", US_national_yearly!$D:$AM, 10, FALSE), 1)</f>
        <v>2.6972831890505973E-5</v>
      </c>
      <c r="W13" s="7">
        <f>$B13 * IFERROR(VLOOKUP("LULUCF|SO2|Non-fatal heart attacks", US_national_yearly!$D:$AM, 31, FALSE) / VLOOKUP("LULUCF|SO2|Non-fatal heart attacks", US_national_yearly!$D:$AM, 10, FALSE), 1)</f>
        <v>2.7119731837437787E-5</v>
      </c>
      <c r="X13" s="7">
        <f>$B13 * IFERROR(VLOOKUP("LULUCF|SO2|Non-fatal heart attacks", US_national_yearly!$D:$AM, 32, FALSE) / VLOOKUP("LULUCF|SO2|Non-fatal heart attacks", US_national_yearly!$D:$AM, 10, FALSE), 1)</f>
        <v>2.7230628447467204E-5</v>
      </c>
      <c r="Y13" s="7">
        <f>$B13 * IFERROR(VLOOKUP("LULUCF|SO2|Non-fatal heart attacks", US_national_yearly!$D:$AM, 33, FALSE) / VLOOKUP("LULUCF|SO2|Non-fatal heart attacks", US_national_yearly!$D:$AM, 10, FALSE), 1)</f>
        <v>2.7341525057496624E-5</v>
      </c>
      <c r="Z13" s="7">
        <f>$B13 * IFERROR(VLOOKUP("LULUCF|SO2|Non-fatal heart attacks", US_national_yearly!$D:$AM, 34, FALSE) / VLOOKUP("LULUCF|SO2|Non-fatal heart attacks", US_national_yearly!$D:$AM, 10, FALSE), 1)</f>
        <v>2.7452421667526041E-5</v>
      </c>
      <c r="AA13" s="7">
        <f>$B13 * IFERROR(VLOOKUP("LULUCF|SO2|Non-fatal heart attacks", US_national_yearly!$D:$AM, 35, FALSE) / VLOOKUP("LULUCF|SO2|Non-fatal heart attacks", US_national_yearly!$D:$AM, 10, FALSE), 1)</f>
        <v>2.7563318277555461E-5</v>
      </c>
      <c r="AB13" s="7">
        <f>$B13 * IFERROR(VLOOKUP("LULUCF|SO2|Non-fatal heart attacks", US_national_yearly!$D:$AM, 36, FALSE) / VLOOKUP("LULUCF|SO2|Non-fatal heart attacks", US_national_yearly!$D:$AM, 10, FALSE), 1)</f>
        <v>2.7674214887584878E-5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1.6594577148079496E-2</v>
      </c>
      <c r="C14" s="7">
        <f>$B14 * IFERROR(VLOOKUP("LULUCF|SO2|Minor restricted activity days", US_national_yearly!$D:$AM, 11, FALSE) / VLOOKUP("LULUCF|SO2|Minor restricted activity days", US_national_yearly!$D:$AM, 10, FALSE), 1)</f>
        <v>1.6636406547884106E-2</v>
      </c>
      <c r="D14" s="7">
        <f>$B14 * IFERROR(VLOOKUP("LULUCF|SO2|Minor restricted activity days", US_national_yearly!$D:$AM, 12, FALSE) / VLOOKUP("LULUCF|SO2|Minor restricted activity days", US_national_yearly!$D:$AM, 10, FALSE), 1)</f>
        <v>1.6678235947688712E-2</v>
      </c>
      <c r="E14" s="7">
        <f>$B14 * IFERROR(VLOOKUP("LULUCF|SO2|Minor restricted activity days", US_national_yearly!$D:$AM, 13, FALSE) / VLOOKUP("LULUCF|SO2|Minor restricted activity days", US_national_yearly!$D:$AM, 10, FALSE), 1)</f>
        <v>1.6720065347493318E-2</v>
      </c>
      <c r="F14" s="7">
        <f>$B14 * IFERROR(VLOOKUP("LULUCF|SO2|Minor restricted activity days", US_national_yearly!$D:$AM, 14, FALSE) / VLOOKUP("LULUCF|SO2|Minor restricted activity days", US_national_yearly!$D:$AM, 10, FALSE), 1)</f>
        <v>1.6761894747297924E-2</v>
      </c>
      <c r="G14" s="7">
        <f>$B14 * IFERROR(VLOOKUP("LULUCF|SO2|Minor restricted activity days", US_national_yearly!$D:$AM, 15, FALSE) / VLOOKUP("LULUCF|SO2|Minor restricted activity days", US_national_yearly!$D:$AM, 10, FALSE), 1)</f>
        <v>1.6823463514467125E-2</v>
      </c>
      <c r="H14" s="7">
        <f>$B14 * IFERROR(VLOOKUP("LULUCF|SO2|Minor restricted activity days", US_national_yearly!$D:$AM, 16, FALSE) / VLOOKUP("LULUCF|SO2|Minor restricted activity days", US_national_yearly!$D:$AM, 10, FALSE), 1)</f>
        <v>1.6885032281636323E-2</v>
      </c>
      <c r="I14" s="7">
        <f>$B14 * IFERROR(VLOOKUP("LULUCF|SO2|Minor restricted activity days", US_national_yearly!$D:$AM, 17, FALSE) / VLOOKUP("LULUCF|SO2|Minor restricted activity days", US_national_yearly!$D:$AM, 10, FALSE), 1)</f>
        <v>1.6990032075161907E-2</v>
      </c>
      <c r="J14" s="7">
        <f>$B14 * IFERROR(VLOOKUP("LULUCF|SO2|Minor restricted activity days", US_national_yearly!$D:$AM, 18, FALSE) / VLOOKUP("LULUCF|SO2|Minor restricted activity days", US_national_yearly!$D:$AM, 10, FALSE), 1)</f>
        <v>1.709503186868749E-2</v>
      </c>
      <c r="K14" s="7">
        <f>$B14 * IFERROR(VLOOKUP("LULUCF|SO2|Minor restricted activity days", US_national_yearly!$D:$AM, 19, FALSE) / VLOOKUP("LULUCF|SO2|Minor restricted activity days", US_national_yearly!$D:$AM, 10, FALSE), 1)</f>
        <v>1.7200031662213074E-2</v>
      </c>
      <c r="L14" s="7">
        <f>$B14 * IFERROR(VLOOKUP("LULUCF|SO2|Minor restricted activity days", US_national_yearly!$D:$AM, 20, FALSE) / VLOOKUP("LULUCF|SO2|Minor restricted activity days", US_national_yearly!$D:$AM, 10, FALSE), 1)</f>
        <v>1.7305031455738657E-2</v>
      </c>
      <c r="M14" s="7">
        <f>$B14 * IFERROR(VLOOKUP("LULUCF|SO2|Minor restricted activity days", US_national_yearly!$D:$AM, 21, FALSE) / VLOOKUP("LULUCF|SO2|Minor restricted activity days", US_national_yearly!$D:$AM, 10, FALSE), 1)</f>
        <v>1.7410031249264241E-2</v>
      </c>
      <c r="N14" s="7">
        <f>$B14 * IFERROR(VLOOKUP("LULUCF|SO2|Minor restricted activity days", US_national_yearly!$D:$AM, 22, FALSE) / VLOOKUP("LULUCF|SO2|Minor restricted activity days", US_national_yearly!$D:$AM, 10, FALSE), 1)</f>
        <v>1.7553654118647635E-2</v>
      </c>
      <c r="O14" s="7">
        <f>$B14 * IFERROR(VLOOKUP("LULUCF|SO2|Minor restricted activity days", US_national_yearly!$D:$AM, 23, FALSE) / VLOOKUP("LULUCF|SO2|Minor restricted activity days", US_national_yearly!$D:$AM, 10, FALSE), 1)</f>
        <v>1.769727698803103E-2</v>
      </c>
      <c r="P14" s="7">
        <f>$B14 * IFERROR(VLOOKUP("LULUCF|SO2|Minor restricted activity days", US_national_yearly!$D:$AM, 24, FALSE) / VLOOKUP("LULUCF|SO2|Minor restricted activity days", US_national_yearly!$D:$AM, 10, FALSE), 1)</f>
        <v>1.7840899857414428E-2</v>
      </c>
      <c r="Q14" s="7">
        <f>$B14 * IFERROR(VLOOKUP("LULUCF|SO2|Minor restricted activity days", US_national_yearly!$D:$AM, 25, FALSE) / VLOOKUP("LULUCF|SO2|Minor restricted activity days", US_national_yearly!$D:$AM, 10, FALSE), 1)</f>
        <v>1.7984522726797823E-2</v>
      </c>
      <c r="R14" s="7">
        <f>$B14 * IFERROR(VLOOKUP("LULUCF|SO2|Minor restricted activity days", US_national_yearly!$D:$AM, 26, FALSE) / VLOOKUP("LULUCF|SO2|Minor restricted activity days", US_national_yearly!$D:$AM, 10, FALSE), 1)</f>
        <v>1.8128145596181221E-2</v>
      </c>
      <c r="S14" s="7">
        <f>$B14 * IFERROR(VLOOKUP("LULUCF|SO2|Minor restricted activity days", US_national_yearly!$D:$AM, 27, FALSE) / VLOOKUP("LULUCF|SO2|Minor restricted activity days", US_national_yearly!$D:$AM, 10, FALSE), 1)</f>
        <v>1.8274583168451521E-2</v>
      </c>
      <c r="T14" s="7">
        <f>$B14 * IFERROR(VLOOKUP("LULUCF|SO2|Minor restricted activity days", US_national_yearly!$D:$AM, 28, FALSE) / VLOOKUP("LULUCF|SO2|Minor restricted activity days", US_national_yearly!$D:$AM, 10, FALSE), 1)</f>
        <v>1.842102074072182E-2</v>
      </c>
      <c r="U14" s="7">
        <f>$B14 * IFERROR(VLOOKUP("LULUCF|SO2|Minor restricted activity days", US_national_yearly!$D:$AM, 29, FALSE) / VLOOKUP("LULUCF|SO2|Minor restricted activity days", US_national_yearly!$D:$AM, 10, FALSE), 1)</f>
        <v>1.8567458312992124E-2</v>
      </c>
      <c r="V14" s="7">
        <f>$B14 * IFERROR(VLOOKUP("LULUCF|SO2|Minor restricted activity days", US_national_yearly!$D:$AM, 30, FALSE) / VLOOKUP("LULUCF|SO2|Minor restricted activity days", US_national_yearly!$D:$AM, 10, FALSE), 1)</f>
        <v>1.8713895885262424E-2</v>
      </c>
      <c r="W14" s="7">
        <f>$B14 * IFERROR(VLOOKUP("LULUCF|SO2|Minor restricted activity days", US_national_yearly!$D:$AM, 31, FALSE) / VLOOKUP("LULUCF|SO2|Minor restricted activity days", US_national_yearly!$D:$AM, 10, FALSE), 1)</f>
        <v>1.8860333457532727E-2</v>
      </c>
      <c r="X14" s="7">
        <f>$B14 * IFERROR(VLOOKUP("LULUCF|SO2|Minor restricted activity days", US_national_yearly!$D:$AM, 32, FALSE) / VLOOKUP("LULUCF|SO2|Minor restricted activity days", US_national_yearly!$D:$AM, 10, FALSE), 1)</f>
        <v>1.8989113632907645E-2</v>
      </c>
      <c r="Y14" s="7">
        <f>$B14 * IFERROR(VLOOKUP("LULUCF|SO2|Minor restricted activity days", US_national_yearly!$D:$AM, 33, FALSE) / VLOOKUP("LULUCF|SO2|Minor restricted activity days", US_national_yearly!$D:$AM, 10, FALSE), 1)</f>
        <v>1.9117893808282563E-2</v>
      </c>
      <c r="Z14" s="7">
        <f>$B14 * IFERROR(VLOOKUP("LULUCF|SO2|Minor restricted activity days", US_national_yearly!$D:$AM, 34, FALSE) / VLOOKUP("LULUCF|SO2|Minor restricted activity days", US_national_yearly!$D:$AM, 10, FALSE), 1)</f>
        <v>1.9246673983657484E-2</v>
      </c>
      <c r="AA14" s="7">
        <f>$B14 * IFERROR(VLOOKUP("LULUCF|SO2|Minor restricted activity days", US_national_yearly!$D:$AM, 35, FALSE) / VLOOKUP("LULUCF|SO2|Minor restricted activity days", US_national_yearly!$D:$AM, 10, FALSE), 1)</f>
        <v>1.9375454159032402E-2</v>
      </c>
      <c r="AB14" s="7">
        <f>$B14 * IFERROR(VLOOKUP("LULUCF|SO2|Minor restricted activity days", US_national_yearly!$D:$AM, 36, FALSE) / VLOOKUP("LULUCF|SO2|Minor restricted activity days", US_national_yearly!$D:$AM, 10, FALSE), 1)</f>
        <v>1.9504234334407324E-2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2.813677963551098E-3</v>
      </c>
      <c r="C15" s="7">
        <f>$B15 * IFERROR(VLOOKUP("LULUCF|SO2|Work loss days", US_national_yearly!$D:$AM, 11, FALSE) / VLOOKUP("LULUCF|SO2|Work loss days", US_national_yearly!$D:$AM, 10, FALSE), 1)</f>
        <v>2.8227938329584475E-3</v>
      </c>
      <c r="D15" s="7">
        <f>$B15 * IFERROR(VLOOKUP("LULUCF|SO2|Work loss days", US_national_yearly!$D:$AM, 12, FALSE) / VLOOKUP("LULUCF|SO2|Work loss days", US_national_yearly!$D:$AM, 10, FALSE), 1)</f>
        <v>2.8319097023657971E-3</v>
      </c>
      <c r="E15" s="7">
        <f>$B15 * IFERROR(VLOOKUP("LULUCF|SO2|Work loss days", US_national_yearly!$D:$AM, 13, FALSE) / VLOOKUP("LULUCF|SO2|Work loss days", US_national_yearly!$D:$AM, 10, FALSE), 1)</f>
        <v>2.8410255717731471E-3</v>
      </c>
      <c r="F15" s="7">
        <f>$B15 * IFERROR(VLOOKUP("LULUCF|SO2|Work loss days", US_national_yearly!$D:$AM, 14, FALSE) / VLOOKUP("LULUCF|SO2|Work loss days", US_national_yearly!$D:$AM, 10, FALSE), 1)</f>
        <v>2.8501414411804967E-3</v>
      </c>
      <c r="G15" s="7">
        <f>$B15 * IFERROR(VLOOKUP("LULUCF|SO2|Work loss days", US_national_yearly!$D:$AM, 15, FALSE) / VLOOKUP("LULUCF|SO2|Work loss days", US_national_yearly!$D:$AM, 10, FALSE), 1)</f>
        <v>2.8620524399591125E-3</v>
      </c>
      <c r="H15" s="7">
        <f>$B15 * IFERROR(VLOOKUP("LULUCF|SO2|Work loss days", US_national_yearly!$D:$AM, 16, FALSE) / VLOOKUP("LULUCF|SO2|Work loss days", US_national_yearly!$D:$AM, 10, FALSE), 1)</f>
        <v>2.8739634387377278E-3</v>
      </c>
      <c r="I15" s="7">
        <f>$B15 * IFERROR(VLOOKUP("LULUCF|SO2|Work loss days", US_national_yearly!$D:$AM, 17, FALSE) / VLOOKUP("LULUCF|SO2|Work loss days", US_national_yearly!$D:$AM, 10, FALSE), 1)</f>
        <v>2.8913876310146104E-3</v>
      </c>
      <c r="J15" s="7">
        <f>$B15 * IFERROR(VLOOKUP("LULUCF|SO2|Work loss days", US_national_yearly!$D:$AM, 18, FALSE) / VLOOKUP("LULUCF|SO2|Work loss days", US_national_yearly!$D:$AM, 10, FALSE), 1)</f>
        <v>2.908811823291493E-3</v>
      </c>
      <c r="K15" s="7">
        <f>$B15 * IFERROR(VLOOKUP("LULUCF|SO2|Work loss days", US_national_yearly!$D:$AM, 19, FALSE) / VLOOKUP("LULUCF|SO2|Work loss days", US_national_yearly!$D:$AM, 10, FALSE), 1)</f>
        <v>2.9262360155683756E-3</v>
      </c>
      <c r="L15" s="7">
        <f>$B15 * IFERROR(VLOOKUP("LULUCF|SO2|Work loss days", US_national_yearly!$D:$AM, 20, FALSE) / VLOOKUP("LULUCF|SO2|Work loss days", US_national_yearly!$D:$AM, 10, FALSE), 1)</f>
        <v>2.9436602078452587E-3</v>
      </c>
      <c r="M15" s="7">
        <f>$B15 * IFERROR(VLOOKUP("LULUCF|SO2|Work loss days", US_national_yearly!$D:$AM, 21, FALSE) / VLOOKUP("LULUCF|SO2|Work loss days", US_national_yearly!$D:$AM, 10, FALSE), 1)</f>
        <v>2.9610844001221417E-3</v>
      </c>
      <c r="N15" s="7">
        <f>$B15 * IFERROR(VLOOKUP("LULUCF|SO2|Work loss days", US_national_yearly!$D:$AM, 22, FALSE) / VLOOKUP("LULUCF|SO2|Work loss days", US_national_yearly!$D:$AM, 10, FALSE), 1)</f>
        <v>2.9829315136369206E-3</v>
      </c>
      <c r="O15" s="7">
        <f>$B15 * IFERROR(VLOOKUP("LULUCF|SO2|Work loss days", US_national_yearly!$D:$AM, 23, FALSE) / VLOOKUP("LULUCF|SO2|Work loss days", US_national_yearly!$D:$AM, 10, FALSE), 1)</f>
        <v>3.0047786271516995E-3</v>
      </c>
      <c r="P15" s="7">
        <f>$B15 * IFERROR(VLOOKUP("LULUCF|SO2|Work loss days", US_national_yearly!$D:$AM, 24, FALSE) / VLOOKUP("LULUCF|SO2|Work loss days", US_national_yearly!$D:$AM, 10, FALSE), 1)</f>
        <v>3.0266257406664776E-3</v>
      </c>
      <c r="Q15" s="7">
        <f>$B15 * IFERROR(VLOOKUP("LULUCF|SO2|Work loss days", US_national_yearly!$D:$AM, 25, FALSE) / VLOOKUP("LULUCF|SO2|Work loss days", US_national_yearly!$D:$AM, 10, FALSE), 1)</f>
        <v>3.0484728541812565E-3</v>
      </c>
      <c r="R15" s="7">
        <f>$B15 * IFERROR(VLOOKUP("LULUCF|SO2|Work loss days", US_national_yearly!$D:$AM, 26, FALSE) / VLOOKUP("LULUCF|SO2|Work loss days", US_national_yearly!$D:$AM, 10, FALSE), 1)</f>
        <v>3.0703199676960355E-3</v>
      </c>
      <c r="S15" s="7">
        <f>$B15 * IFERROR(VLOOKUP("LULUCF|SO2|Work loss days", US_national_yearly!$D:$AM, 27, FALSE) / VLOOKUP("LULUCF|SO2|Work loss days", US_national_yearly!$D:$AM, 10, FALSE), 1)</f>
        <v>3.0947340450197874E-3</v>
      </c>
      <c r="T15" s="7">
        <f>$B15 * IFERROR(VLOOKUP("LULUCF|SO2|Work loss days", US_national_yearly!$D:$AM, 28, FALSE) / VLOOKUP("LULUCF|SO2|Work loss days", US_national_yearly!$D:$AM, 10, FALSE), 1)</f>
        <v>3.1191481223435398E-3</v>
      </c>
      <c r="U15" s="7">
        <f>$B15 * IFERROR(VLOOKUP("LULUCF|SO2|Work loss days", US_national_yearly!$D:$AM, 29, FALSE) / VLOOKUP("LULUCF|SO2|Work loss days", US_national_yearly!$D:$AM, 10, FALSE), 1)</f>
        <v>3.1435621996672917E-3</v>
      </c>
      <c r="V15" s="7">
        <f>$B15 * IFERROR(VLOOKUP("LULUCF|SO2|Work loss days", US_national_yearly!$D:$AM, 30, FALSE) / VLOOKUP("LULUCF|SO2|Work loss days", US_national_yearly!$D:$AM, 10, FALSE), 1)</f>
        <v>3.1679762769910437E-3</v>
      </c>
      <c r="W15" s="7">
        <f>$B15 * IFERROR(VLOOKUP("LULUCF|SO2|Work loss days", US_national_yearly!$D:$AM, 31, FALSE) / VLOOKUP("LULUCF|SO2|Work loss days", US_national_yearly!$D:$AM, 10, FALSE), 1)</f>
        <v>3.1923903543147965E-3</v>
      </c>
      <c r="X15" s="7">
        <f>$B15 * IFERROR(VLOOKUP("LULUCF|SO2|Work loss days", US_national_yearly!$D:$AM, 32, FALSE) / VLOOKUP("LULUCF|SO2|Work loss days", US_national_yearly!$D:$AM, 10, FALSE), 1)</f>
        <v>3.2143108305977396E-3</v>
      </c>
      <c r="Y15" s="7">
        <f>$B15 * IFERROR(VLOOKUP("LULUCF|SO2|Work loss days", US_national_yearly!$D:$AM, 33, FALSE) / VLOOKUP("LULUCF|SO2|Work loss days", US_national_yearly!$D:$AM, 10, FALSE), 1)</f>
        <v>3.2362313068806841E-3</v>
      </c>
      <c r="Z15" s="7">
        <f>$B15 * IFERROR(VLOOKUP("LULUCF|SO2|Work loss days", US_national_yearly!$D:$AM, 34, FALSE) / VLOOKUP("LULUCF|SO2|Work loss days", US_national_yearly!$D:$AM, 10, FALSE), 1)</f>
        <v>3.2581517831636281E-3</v>
      </c>
      <c r="AA15" s="7">
        <f>$B15 * IFERROR(VLOOKUP("LULUCF|SO2|Work loss days", US_national_yearly!$D:$AM, 35, FALSE) / VLOOKUP("LULUCF|SO2|Work loss days", US_national_yearly!$D:$AM, 10, FALSE), 1)</f>
        <v>3.2800722594465721E-3</v>
      </c>
      <c r="AB15" s="7">
        <f>$B15 * IFERROR(VLOOKUP("LULUCF|SO2|Work loss days", US_national_yearly!$D:$AM, 36, FALSE) / VLOOKUP("LULUCF|SO2|Work loss days", US_national_yearly!$D:$AM, 10, FALSE), 1)</f>
        <v>3.3019927357295161E-3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4.5667496114789119E-6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4.7048656077404202E-6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4.8429816040019285E-6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4.9810976002634376E-6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5.1192135965249468E-6</v>
      </c>
      <c r="G17" s="7">
        <f>$B17 * IFERROR(VLOOKUP("LULUCF|SO2|Cardiovascular hospital admissions", US_national_yearly!$D:$AM, 15, FALSE) / VLOOKUP("LULUCF|SO2|Cardiovascular hospital admissions", US_national_yearly!$D:$AM, 10, FALSE), 1)</f>
        <v>5.2515155881649493E-6</v>
      </c>
      <c r="H17" s="7">
        <f>$B17 * IFERROR(VLOOKUP("LULUCF|SO2|Cardiovascular hospital admissions", US_national_yearly!$D:$AM, 16, FALSE) / VLOOKUP("LULUCF|SO2|Cardiovascular hospital admissions", US_national_yearly!$D:$AM, 10, FALSE), 1)</f>
        <v>5.3838175798049519E-6</v>
      </c>
      <c r="I17" s="7">
        <f>$B17 * IFERROR(VLOOKUP("LULUCF|SO2|Cardiovascular hospital admissions", US_national_yearly!$D:$AM, 17, FALSE) / VLOOKUP("LULUCF|SO2|Cardiovascular hospital admissions", US_national_yearly!$D:$AM, 10, FALSE), 1)</f>
        <v>5.4971745681321504E-6</v>
      </c>
      <c r="J17" s="7">
        <f>$B17 * IFERROR(VLOOKUP("LULUCF|SO2|Cardiovascular hospital admissions", US_national_yearly!$D:$AM, 18, FALSE) / VLOOKUP("LULUCF|SO2|Cardiovascular hospital admissions", US_national_yearly!$D:$AM, 10, FALSE), 1)</f>
        <v>5.6105315564593481E-6</v>
      </c>
      <c r="K17" s="7">
        <f>$B17 * IFERROR(VLOOKUP("LULUCF|SO2|Cardiovascular hospital admissions", US_national_yearly!$D:$AM, 19, FALSE) / VLOOKUP("LULUCF|SO2|Cardiovascular hospital admissions", US_national_yearly!$D:$AM, 10, FALSE), 1)</f>
        <v>5.7238885447865458E-6</v>
      </c>
      <c r="L17" s="7">
        <f>$B17 * IFERROR(VLOOKUP("LULUCF|SO2|Cardiovascular hospital admissions", US_national_yearly!$D:$AM, 20, FALSE) / VLOOKUP("LULUCF|SO2|Cardiovascular hospital admissions", US_national_yearly!$D:$AM, 10, FALSE), 1)</f>
        <v>5.8372455331137443E-6</v>
      </c>
      <c r="M17" s="7">
        <f>$B17 * IFERROR(VLOOKUP("LULUCF|SO2|Cardiovascular hospital admissions", US_national_yearly!$D:$AM, 21, FALSE) / VLOOKUP("LULUCF|SO2|Cardiovascular hospital admissions", US_national_yearly!$D:$AM, 10, FALSE), 1)</f>
        <v>5.9506025214409412E-6</v>
      </c>
      <c r="N17" s="7">
        <f>$B17 * IFERROR(VLOOKUP("LULUCF|SO2|Cardiovascular hospital admissions", US_national_yearly!$D:$AM, 22, FALSE) / VLOOKUP("LULUCF|SO2|Cardiovascular hospital admissions", US_national_yearly!$D:$AM, 10, FALSE), 1)</f>
        <v>6.0267525960343455E-6</v>
      </c>
      <c r="O17" s="7">
        <f>$B17 * IFERROR(VLOOKUP("LULUCF|SO2|Cardiovascular hospital admissions", US_national_yearly!$D:$AM, 23, FALSE) / VLOOKUP("LULUCF|SO2|Cardiovascular hospital admissions", US_national_yearly!$D:$AM, 10, FALSE), 1)</f>
        <v>6.102902670627749E-6</v>
      </c>
      <c r="P17" s="7">
        <f>$B17 * IFERROR(VLOOKUP("LULUCF|SO2|Cardiovascular hospital admissions", US_national_yearly!$D:$AM, 24, FALSE) / VLOOKUP("LULUCF|SO2|Cardiovascular hospital admissions", US_national_yearly!$D:$AM, 10, FALSE), 1)</f>
        <v>6.1790527452211525E-6</v>
      </c>
      <c r="Q17" s="7">
        <f>$B17 * IFERROR(VLOOKUP("LULUCF|SO2|Cardiovascular hospital admissions", US_national_yearly!$D:$AM, 25, FALSE) / VLOOKUP("LULUCF|SO2|Cardiovascular hospital admissions", US_national_yearly!$D:$AM, 10, FALSE), 1)</f>
        <v>6.255202819814556E-6</v>
      </c>
      <c r="R17" s="7">
        <f>$B17 * IFERROR(VLOOKUP("LULUCF|SO2|Cardiovascular hospital admissions", US_national_yearly!$D:$AM, 26, FALSE) / VLOOKUP("LULUCF|SO2|Cardiovascular hospital admissions", US_national_yearly!$D:$AM, 10, FALSE), 1)</f>
        <v>6.3313528944079604E-6</v>
      </c>
      <c r="S17" s="7">
        <f>$B17 * IFERROR(VLOOKUP("LULUCF|SO2|Cardiovascular hospital admissions", US_national_yearly!$D:$AM, 27, FALSE) / VLOOKUP("LULUCF|SO2|Cardiovascular hospital admissions", US_national_yearly!$D:$AM, 10, FALSE), 1)</f>
        <v>6.3714024117537154E-6</v>
      </c>
      <c r="T17" s="7">
        <f>$B17 * IFERROR(VLOOKUP("LULUCF|SO2|Cardiovascular hospital admissions", US_national_yearly!$D:$AM, 28, FALSE) / VLOOKUP("LULUCF|SO2|Cardiovascular hospital admissions", US_national_yearly!$D:$AM, 10, FALSE), 1)</f>
        <v>6.4114519290994704E-6</v>
      </c>
      <c r="U17" s="7">
        <f>$B17 * IFERROR(VLOOKUP("LULUCF|SO2|Cardiovascular hospital admissions", US_national_yearly!$D:$AM, 29, FALSE) / VLOOKUP("LULUCF|SO2|Cardiovascular hospital admissions", US_national_yearly!$D:$AM, 10, FALSE), 1)</f>
        <v>6.4515014464452254E-6</v>
      </c>
      <c r="V17" s="7">
        <f>$B17 * IFERROR(VLOOKUP("LULUCF|SO2|Cardiovascular hospital admissions", US_national_yearly!$D:$AM, 30, FALSE) / VLOOKUP("LULUCF|SO2|Cardiovascular hospital admissions", US_national_yearly!$D:$AM, 10, FALSE), 1)</f>
        <v>6.4915509637909805E-6</v>
      </c>
      <c r="W17" s="7">
        <f>$B17 * IFERROR(VLOOKUP("LULUCF|SO2|Cardiovascular hospital admissions", US_national_yearly!$D:$AM, 31, FALSE) / VLOOKUP("LULUCF|SO2|Cardiovascular hospital admissions", US_national_yearly!$D:$AM, 10, FALSE), 1)</f>
        <v>6.5316004811367355E-6</v>
      </c>
      <c r="X17" s="7">
        <f>$B17 * IFERROR(VLOOKUP("LULUCF|SO2|Cardiovascular hospital admissions", US_national_yearly!$D:$AM, 32, FALSE) / VLOOKUP("LULUCF|SO2|Cardiovascular hospital admissions", US_national_yearly!$D:$AM, 10, FALSE), 1)</f>
        <v>6.5584870460668349E-6</v>
      </c>
      <c r="Y17" s="7">
        <f>$B17 * IFERROR(VLOOKUP("LULUCF|SO2|Cardiovascular hospital admissions", US_national_yearly!$D:$AM, 33, FALSE) / VLOOKUP("LULUCF|SO2|Cardiovascular hospital admissions", US_national_yearly!$D:$AM, 10, FALSE), 1)</f>
        <v>6.5853736109969335E-6</v>
      </c>
      <c r="Z17" s="7">
        <f>$B17 * IFERROR(VLOOKUP("LULUCF|SO2|Cardiovascular hospital admissions", US_national_yearly!$D:$AM, 34, FALSE) / VLOOKUP("LULUCF|SO2|Cardiovascular hospital admissions", US_national_yearly!$D:$AM, 10, FALSE), 1)</f>
        <v>6.6122601759270321E-6</v>
      </c>
      <c r="AA17" s="7">
        <f>$B17 * IFERROR(VLOOKUP("LULUCF|SO2|Cardiovascular hospital admissions", US_national_yearly!$D:$AM, 35, FALSE) / VLOOKUP("LULUCF|SO2|Cardiovascular hospital admissions", US_national_yearly!$D:$AM, 10, FALSE), 1)</f>
        <v>6.6391467408571315E-6</v>
      </c>
      <c r="AB17" s="7">
        <f>$B17 * IFERROR(VLOOKUP("LULUCF|SO2|Cardiovascular hospital admissions", US_national_yearly!$D:$AM, 36, FALSE) / VLOOKUP("LULUCF|SO2|Cardiovascular hospital admissions", US_national_yearly!$D:$AM, 10, FALSE), 1)</f>
        <v>6.6660333057872301E-6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2026-06-15T17:14:59Z</dcterms:modified>
</cp:coreProperties>
</file>