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ID\add-outputs\NoH\"/>
    </mc:Choice>
  </mc:AlternateContent>
  <xr:revisionPtr revIDLastSave="0" documentId="8_{69B76B48-98F4-47BB-A2AE-71D0F7DFB069}"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Z2" i="3"/>
  <c r="AA2" i="3"/>
  <c r="AB2" i="3"/>
  <c r="Q2" i="3"/>
  <c r="S2" i="3"/>
  <c r="U2" i="3"/>
  <c r="W2" i="3"/>
  <c r="D2" i="3"/>
  <c r="E2" i="3"/>
  <c r="F2" i="3"/>
  <c r="G2" i="3"/>
  <c r="AC2" i="3"/>
  <c r="K2" i="3"/>
  <c r="N2" i="3"/>
  <c r="P2" i="3"/>
  <c r="R2" i="3"/>
  <c r="H2" i="3"/>
  <c r="AD2" i="3"/>
  <c r="X2" i="3"/>
  <c r="I2" i="3"/>
  <c r="AE2" i="3"/>
  <c r="B2" i="3"/>
  <c r="L2" i="3"/>
  <c r="O2" i="3"/>
  <c r="T2" i="3"/>
  <c r="V2" i="3"/>
  <c r="J2" i="3"/>
  <c r="M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<sst xmlns="http://schemas.openxmlformats.org/spreadsheetml/2006/main" count="1069" uniqueCount="448">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</sst>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348</v>
      </c>
      <c r="C1" s="68">
        <v>46185</v>
      </c>
      <c r="H1" t="s">
        <v>324</v>
      </c>
      <c r="I1" t="s">
        <v>325</v>
      </c>
    </row>
    <row r="2" spans="1:9" x14ac:dyDescent="0.25">
      <c r="B2" t="str">
        <f>VLOOKUP(B1,H2:I52,2)</f>
        <v>ID</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672995.22881993558</v>
      </c>
      <c r="C2">
        <f>SUMIFS('state calcs'!C62:C112,'state calcs'!$A$62:$A$112,About!$B$2)</f>
        <v>688113.51315264264</v>
      </c>
      <c r="D2">
        <f>SUMIFS('state calcs'!D62:D112,'state calcs'!$A$62:$A$112,About!$B$2)</f>
        <v>699228.2611683202</v>
      </c>
      <c r="E2">
        <f>SUMIFS('state calcs'!E62:E112,'state calcs'!$A$62:$A$112,About!$B$2)</f>
        <v>710391.39532958053</v>
      </c>
      <c r="F2">
        <f>SUMIFS('state calcs'!F62:F112,'state calcs'!$A$62:$A$112,About!$B$2)</f>
        <v>721740.07819614059</v>
      </c>
      <c r="G2">
        <f>SUMIFS('state calcs'!G62:G112,'state calcs'!$A$62:$A$112,About!$B$2)</f>
        <v>733107.39984251012</v>
      </c>
      <c r="H2">
        <f>SUMIFS('state calcs'!H62:H112,'state calcs'!$A$62:$A$112,About!$B$2)</f>
        <v>744545.14037015918</v>
      </c>
      <c r="I2">
        <f>SUMIFS('state calcs'!I62:I112,'state calcs'!$A$62:$A$112,About!$B$2)</f>
        <v>756067.14426732238</v>
      </c>
      <c r="J2">
        <f>SUMIFS('state calcs'!J62:J112,'state calcs'!$A$62:$A$112,About!$B$2)</f>
        <v>767572.33270976227</v>
      </c>
      <c r="K2">
        <f>SUMIFS('state calcs'!K62:K112,'state calcs'!$A$62:$A$112,About!$B$2)</f>
        <v>778935.31930442166</v>
      </c>
      <c r="L2">
        <f>SUMIFS('state calcs'!L62:L112,'state calcs'!$A$62:$A$112,About!$B$2)</f>
        <v>792898.48758180044</v>
      </c>
      <c r="M2">
        <f>SUMIFS('state calcs'!M62:M112,'state calcs'!$A$62:$A$112,About!$B$2)</f>
        <v>806884.35576914879</v>
      </c>
      <c r="N2">
        <f>SUMIFS('state calcs'!N62:N112,'state calcs'!$A$62:$A$112,About!$B$2)</f>
        <v>820793.60274571646</v>
      </c>
      <c r="O2">
        <f>SUMIFS('state calcs'!O62:O112,'state calcs'!$A$62:$A$112,About!$B$2)</f>
        <v>834560.97174789303</v>
      </c>
      <c r="P2">
        <f>SUMIFS('state calcs'!P62:P112,'state calcs'!$A$62:$A$112,About!$B$2)</f>
        <v>848301.79474105092</v>
      </c>
      <c r="Q2">
        <f>SUMIFS('state calcs'!Q62:Q112,'state calcs'!$A$62:$A$112,About!$B$2)</f>
        <v>862112.53656150366</v>
      </c>
      <c r="R2">
        <f>SUMIFS('state calcs'!R62:R112,'state calcs'!$A$62:$A$112,About!$B$2)</f>
        <v>875941.17791109905</v>
      </c>
      <c r="S2">
        <f>SUMIFS('state calcs'!S62:S112,'state calcs'!$A$62:$A$112,About!$B$2)</f>
        <v>889800.73217708827</v>
      </c>
      <c r="T2">
        <f>SUMIFS('state calcs'!T62:T112,'state calcs'!$A$62:$A$112,About!$B$2)</f>
        <v>903669.42252313998</v>
      </c>
      <c r="U2">
        <f>SUMIFS('state calcs'!U62:U112,'state calcs'!$A$62:$A$112,About!$B$2)</f>
        <v>917669.58655767655</v>
      </c>
      <c r="V2">
        <f>SUMIFS('state calcs'!V62:V112,'state calcs'!$A$62:$A$112,About!$B$2)</f>
        <v>932655.89759801293</v>
      </c>
      <c r="W2">
        <f>SUMIFS('state calcs'!W62:W112,'state calcs'!$A$62:$A$112,About!$B$2)</f>
        <v>947617.39294555341</v>
      </c>
      <c r="X2">
        <f>SUMIFS('state calcs'!X62:X112,'state calcs'!$A$62:$A$112,About!$B$2)</f>
        <v>962602.35202771076</v>
      </c>
      <c r="Y2">
        <f>SUMIFS('state calcs'!Y62:Y112,'state calcs'!$A$62:$A$112,About!$B$2)</f>
        <v>977613.866725264</v>
      </c>
      <c r="Z2">
        <f>SUMIFS('state calcs'!Z62:Z112,'state calcs'!$A$62:$A$112,About!$B$2)</f>
        <v>992657.2340166521</v>
      </c>
      <c r="AA2">
        <f>SUMIFS('state calcs'!AA62:AA112,'state calcs'!$A$62:$A$112,About!$B$2)</f>
        <v>1007705.743748051</v>
      </c>
      <c r="AB2">
        <f>SUMIFS('state calcs'!AB62:AB112,'state calcs'!$A$62:$A$112,About!$B$2)</f>
        <v>1022800.1075280277</v>
      </c>
      <c r="AC2">
        <f>SUMIFS('state calcs'!AC62:AC112,'state calcs'!$A$62:$A$112,About!$B$2)</f>
        <v>1037890.8928338396</v>
      </c>
      <c r="AD2">
        <f>SUMIFS('state calcs'!AD62:AD112,'state calcs'!$A$62:$A$112,About!$B$2)</f>
        <v>1052968.646409767</v>
      </c>
      <c r="AE2">
        <f>SUMIFS('state calcs'!AE62:AE112,'state calcs'!$A$62:$A$112,About!$B$2)</f>
        <v>1068051.8516437667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2026-06-12T19:28:25Z</dcterms:modified>
</cp:coreProperties>
</file>