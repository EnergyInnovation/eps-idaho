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668E66EF-CC48-4B4E-BDC8-F1277922E387}"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M15" i="9" l="1"/>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Z68" i="9" l="1"/>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<sst xmlns="http://schemas.openxmlformats.org/spreadsheetml/2006/main" count="5677" uniqueCount="335">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</sst>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72</v>
      </c>
    </row>
    <row r="2" spans="1:2" x14ac:dyDescent="0.25">
      <c r="A2" s="3" t="s">
        <v>2</v>
      </c>
      <c r="B2" s="4" t="str">
        <f>IFERROR(INDEX(Geography!B:B, MATCH($B$1, Geography!C:C, 0)), "")</f>
        <v>ID</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1007099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1.0148948144161891</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994520</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0.98535579561019404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1843921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1.2258801016027889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22063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8.0685592267154133E-2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37892</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0.29317777296197073</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97743</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1.031391282905967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286193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0.73270980142358499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1715426</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2001619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1.0648049393499186</v>
      </c>
    </row>
    <row r="12" spans="1:28" x14ac:dyDescent="0.25">
      <c r="A12" s="4" t="s">
        <v>319</v>
      </c>
    </row>
    <row r="13" spans="1:28" x14ac:dyDescent="0.25">
      <c r="A13" s="4" t="s">
        <v>320</v>
      </c>
      <c r="B13" s="37">
        <f>INDEX(Census_pop_2020_2025!G:G, MATCH("."&amp;About!$B$1, Census_pop_2020_2025!A:A, 0))</f>
        <v>2000872</v>
      </c>
      <c r="C13" s="37">
        <f>INDEX(Census_pop_2020_2025!H:H, MATCH("."&amp;About!$B$1, Census_pop_2020_2025!A:A, 0))</f>
        <v>2029733</v>
      </c>
      <c r="D13" s="37">
        <f>INDEX(Census_pop_2020_2025!H:H, MATCH("."&amp;About!$B$1, Census_pop_2020_2025!A:A, 0))+0.2*(INDEX(Cooper_pop_2030_2050!D:D, MATCH(About!$B$1, Cooper_pop_2030_2050!B:B, 0))-INDEX(Census_pop_2020_2025!H:H, MATCH("."&amp;About!$B$1, Census_pop_2020_2025!A:A, 0)))</f>
        <v>2037039.321276973</v>
      </c>
      <c r="E13" s="37">
        <f>INDEX(Census_pop_2020_2025!H:H, MATCH("."&amp;About!$B$1, Census_pop_2020_2025!A:A, 0))+0.4*(INDEX(Cooper_pop_2030_2050!D:D, MATCH(About!$B$1, Cooper_pop_2030_2050!B:B, 0))-INDEX(Census_pop_2020_2025!H:H, MATCH("."&amp;About!$B$1, Census_pop_2020_2025!A:A, 0)))</f>
        <v>2044345.642553946</v>
      </c>
      <c r="F13" s="37">
        <f>INDEX(Census_pop_2020_2025!H:H, MATCH("."&amp;About!$B$1, Census_pop_2020_2025!A:A, 0))+0.6*(INDEX(Cooper_pop_2030_2050!D:D, MATCH(About!$B$1, Cooper_pop_2030_2050!B:B, 0))-INDEX(Census_pop_2020_2025!H:H, MATCH("."&amp;About!$B$1, Census_pop_2020_2025!A:A, 0)))</f>
        <v>2051651.963830919</v>
      </c>
      <c r="G13" s="37">
        <f>INDEX(Census_pop_2020_2025!H:H, MATCH("."&amp;About!$B$1, Census_pop_2020_2025!A:A, 0))+0.8*(INDEX(Cooper_pop_2030_2050!D:D, MATCH(About!$B$1, Cooper_pop_2030_2050!B:B, 0))-INDEX(Census_pop_2020_2025!H:H, MATCH("."&amp;About!$B$1, Census_pop_2020_2025!A:A, 0)))</f>
        <v>2058958.285107892</v>
      </c>
      <c r="H13" s="37">
        <f>INDEX(Cooper_pop_2030_2050!D:D, MATCH(About!$B$1, Cooper_pop_2030_2050!B:B, 0))</f>
        <v>2066264.606384865</v>
      </c>
      <c r="I13" s="37">
        <f>INDEX(Cooper_pop_2030_2050!D:D, MATCH(About!$B$1, Cooper_pop_2030_2050!B:B, 0))+0.1*(INDEX(Cooper_pop_2030_2050!E:E, MATCH(About!$B$1, Cooper_pop_2030_2050!B:B, 0))-INDEX(Cooper_pop_2030_2050!D:D, MATCH(About!$B$1, Cooper_pop_2030_2050!B:B, 0)))</f>
        <v>2092709.3150645306</v>
      </c>
      <c r="J13" s="37">
        <f>INDEX(Cooper_pop_2030_2050!D:D, MATCH(About!$B$1, Cooper_pop_2030_2050!B:B, 0))+0.2*(INDEX(Cooper_pop_2030_2050!E:E, MATCH(About!$B$1, Cooper_pop_2030_2050!B:B, 0))-INDEX(Cooper_pop_2030_2050!D:D, MATCH(About!$B$1, Cooper_pop_2030_2050!B:B, 0)))</f>
        <v>2119154.0237441962</v>
      </c>
      <c r="K13" s="37">
        <f>INDEX(Cooper_pop_2030_2050!D:D, MATCH(About!$B$1, Cooper_pop_2030_2050!B:B, 0))+0.3*(INDEX(Cooper_pop_2030_2050!E:E, MATCH(About!$B$1, Cooper_pop_2030_2050!B:B, 0))-INDEX(Cooper_pop_2030_2050!D:D, MATCH(About!$B$1, Cooper_pop_2030_2050!B:B, 0)))</f>
        <v>2145598.7324238615</v>
      </c>
      <c r="L13" s="37">
        <f>INDEX(Cooper_pop_2030_2050!D:D, MATCH(About!$B$1, Cooper_pop_2030_2050!B:B, 0))+0.4*(INDEX(Cooper_pop_2030_2050!E:E, MATCH(About!$B$1, Cooper_pop_2030_2050!B:B, 0))-INDEX(Cooper_pop_2030_2050!D:D, MATCH(About!$B$1, Cooper_pop_2030_2050!B:B, 0)))</f>
        <v>2172043.4411035273</v>
      </c>
      <c r="M13" s="37">
        <f>INDEX(Cooper_pop_2030_2050!D:D, MATCH(About!$B$1, Cooper_pop_2030_2050!B:B, 0))+0.5*(INDEX(Cooper_pop_2030_2050!E:E, MATCH(About!$B$1, Cooper_pop_2030_2050!B:B, 0))-INDEX(Cooper_pop_2030_2050!D:D, MATCH(About!$B$1, Cooper_pop_2030_2050!B:B, 0)))</f>
        <v>2198488.1497831931</v>
      </c>
      <c r="N13" s="37">
        <f>INDEX(Cooper_pop_2030_2050!D:D, MATCH(About!$B$1, Cooper_pop_2030_2050!B:B, 0))+0.6*(INDEX(Cooper_pop_2030_2050!E:E, MATCH(About!$B$1, Cooper_pop_2030_2050!B:B, 0))-INDEX(Cooper_pop_2030_2050!D:D, MATCH(About!$B$1, Cooper_pop_2030_2050!B:B, 0)))</f>
        <v>2224932.8584628585</v>
      </c>
      <c r="O13" s="37">
        <f>INDEX(Cooper_pop_2030_2050!D:D, MATCH(About!$B$1, Cooper_pop_2030_2050!B:B, 0))+0.7*(INDEX(Cooper_pop_2030_2050!E:E, MATCH(About!$B$1, Cooper_pop_2030_2050!B:B, 0))-INDEX(Cooper_pop_2030_2050!D:D, MATCH(About!$B$1, Cooper_pop_2030_2050!B:B, 0)))</f>
        <v>2251377.5671425238</v>
      </c>
      <c r="P13" s="37">
        <f>INDEX(Cooper_pop_2030_2050!D:D, MATCH(About!$B$1, Cooper_pop_2030_2050!B:B, 0))+0.8*(INDEX(Cooper_pop_2030_2050!E:E, MATCH(About!$B$1, Cooper_pop_2030_2050!B:B, 0))-INDEX(Cooper_pop_2030_2050!D:D, MATCH(About!$B$1, Cooper_pop_2030_2050!B:B, 0)))</f>
        <v>2277822.2758221896</v>
      </c>
      <c r="Q13" s="37">
        <f>INDEX(Cooper_pop_2030_2050!D:D, MATCH(About!$B$1, Cooper_pop_2030_2050!B:B, 0))+0.9*(INDEX(Cooper_pop_2030_2050!E:E, MATCH(About!$B$1, Cooper_pop_2030_2050!B:B, 0))-INDEX(Cooper_pop_2030_2050!D:D, MATCH(About!$B$1, Cooper_pop_2030_2050!B:B, 0)))</f>
        <v>2304266.9845018554</v>
      </c>
      <c r="R13" s="37">
        <f>INDEX(Cooper_pop_2030_2050!E:E, MATCH(About!$B$1, Cooper_pop_2030_2050!B:B, 0))</f>
        <v>2330711.6931815208</v>
      </c>
      <c r="S13" s="37">
        <f>INDEX(Cooper_pop_2030_2050!E:E, MATCH(About!$B$1, Cooper_pop_2030_2050!B:B, 0))+0.1*(INDEX(Cooper_pop_2030_2050!F:F, MATCH(About!$B$1, Cooper_pop_2030_2050!B:B, 0))-INDEX(Cooper_pop_2030_2050!E:E, MATCH(About!$B$1, Cooper_pop_2030_2050!B:B, 0)))</f>
        <v>2357460.24008166</v>
      </c>
      <c r="T13" s="37">
        <f>INDEX(Cooper_pop_2030_2050!E:E, MATCH(About!$B$1, Cooper_pop_2030_2050!B:B, 0))+0.2*(INDEX(Cooper_pop_2030_2050!F:F, MATCH(About!$B$1, Cooper_pop_2030_2050!B:B, 0))-INDEX(Cooper_pop_2030_2050!E:E, MATCH(About!$B$1, Cooper_pop_2030_2050!B:B, 0)))</f>
        <v>2384208.7869817996</v>
      </c>
      <c r="U13" s="37">
        <f>INDEX(Cooper_pop_2030_2050!E:E, MATCH(About!$B$1, Cooper_pop_2030_2050!B:B, 0))+0.3*(INDEX(Cooper_pop_2030_2050!F:F, MATCH(About!$B$1, Cooper_pop_2030_2050!B:B, 0))-INDEX(Cooper_pop_2030_2050!E:E, MATCH(About!$B$1, Cooper_pop_2030_2050!B:B, 0)))</f>
        <v>2410957.3338819388</v>
      </c>
      <c r="V13" s="37">
        <f>INDEX(Cooper_pop_2030_2050!E:E, MATCH(About!$B$1, Cooper_pop_2030_2050!B:B, 0))+0.4*(INDEX(Cooper_pop_2030_2050!F:F, MATCH(About!$B$1, Cooper_pop_2030_2050!B:B, 0))-INDEX(Cooper_pop_2030_2050!E:E, MATCH(About!$B$1, Cooper_pop_2030_2050!B:B, 0)))</f>
        <v>2437705.880782078</v>
      </c>
      <c r="W13" s="37">
        <f>INDEX(Cooper_pop_2030_2050!E:E, MATCH(About!$B$1, Cooper_pop_2030_2050!B:B, 0))+0.5*(INDEX(Cooper_pop_2030_2050!F:F, MATCH(About!$B$1, Cooper_pop_2030_2050!B:B, 0))-INDEX(Cooper_pop_2030_2050!E:E, MATCH(About!$B$1, Cooper_pop_2030_2050!B:B, 0)))</f>
        <v>2464454.4276822172</v>
      </c>
      <c r="X13" s="37">
        <f>INDEX(Cooper_pop_2030_2050!E:E, MATCH(About!$B$1, Cooper_pop_2030_2050!B:B, 0))+0.6*(INDEX(Cooper_pop_2030_2050!F:F, MATCH(About!$B$1, Cooper_pop_2030_2050!B:B, 0))-INDEX(Cooper_pop_2030_2050!E:E, MATCH(About!$B$1, Cooper_pop_2030_2050!B:B, 0)))</f>
        <v>2491202.9745823569</v>
      </c>
      <c r="Y13" s="37">
        <f>INDEX(Cooper_pop_2030_2050!E:E, MATCH(About!$B$1, Cooper_pop_2030_2050!B:B, 0))+0.7*(INDEX(Cooper_pop_2030_2050!F:F, MATCH(About!$B$1, Cooper_pop_2030_2050!B:B, 0))-INDEX(Cooper_pop_2030_2050!E:E, MATCH(About!$B$1, Cooper_pop_2030_2050!B:B, 0)))</f>
        <v>2517951.5214824961</v>
      </c>
      <c r="Z13" s="37">
        <f>INDEX(Cooper_pop_2030_2050!E:E, MATCH(About!$B$1, Cooper_pop_2030_2050!B:B, 0))+0.8*(INDEX(Cooper_pop_2030_2050!F:F, MATCH(About!$B$1, Cooper_pop_2030_2050!B:B, 0))-INDEX(Cooper_pop_2030_2050!E:E, MATCH(About!$B$1, Cooper_pop_2030_2050!B:B, 0)))</f>
        <v>2544700.0683826352</v>
      </c>
      <c r="AA13" s="37">
        <f>INDEX(Cooper_pop_2030_2050!E:E, MATCH(About!$B$1, Cooper_pop_2030_2050!B:B, 0))+0.9*(INDEX(Cooper_pop_2030_2050!F:F, MATCH(About!$B$1, Cooper_pop_2030_2050!B:B, 0))-INDEX(Cooper_pop_2030_2050!E:E, MATCH(About!$B$1, Cooper_pop_2030_2050!B:B, 0)))</f>
        <v>2571448.6152827749</v>
      </c>
      <c r="AB13" s="37">
        <f>INDEX(Cooper_pop_2030_2050!F:F, MATCH(About!$B$1, Cooper_pop_2030_2050!B:B, 0))</f>
        <v>2598197.1621829141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5.9464429033279408E-3</v>
      </c>
      <c r="C15" s="39">
        <f t="shared" si="1"/>
        <v>6.0048383648906075E-3</v>
      </c>
      <c r="D15" s="39">
        <f t="shared" si="1"/>
        <v>5.9998852806288283E-3</v>
      </c>
      <c r="E15" s="39">
        <f t="shared" si="1"/>
        <v>5.9956672689766861E-3</v>
      </c>
      <c r="F15" s="39">
        <f t="shared" si="1"/>
        <v>5.9922406066287197E-3</v>
      </c>
      <c r="G15" s="39">
        <f t="shared" si="1"/>
        <v>5.9896307735785581E-3</v>
      </c>
      <c r="H15" s="39">
        <f t="shared" si="1"/>
        <v>5.9878959617925675E-3</v>
      </c>
      <c r="I15" s="39">
        <f t="shared" si="1"/>
        <v>6.0423680841007119E-3</v>
      </c>
      <c r="J15" s="39">
        <f t="shared" si="1"/>
        <v>6.0974936373414078E-3</v>
      </c>
      <c r="K15" s="39">
        <f t="shared" si="1"/>
        <v>6.1531046257478628E-3</v>
      </c>
      <c r="L15" s="39">
        <f t="shared" si="1"/>
        <v>6.2092508832533536E-3</v>
      </c>
      <c r="M15" s="39">
        <f t="shared" si="1"/>
        <v>6.265978901733066E-3</v>
      </c>
      <c r="N15" s="39">
        <f t="shared" si="1"/>
        <v>6.3233299870384552E-3</v>
      </c>
      <c r="O15" s="39">
        <f t="shared" si="1"/>
        <v>6.3813463127589867E-3</v>
      </c>
      <c r="P15" s="39">
        <f t="shared" si="1"/>
        <v>6.440062582790282E-3</v>
      </c>
      <c r="Q15" s="39">
        <f t="shared" si="1"/>
        <v>6.4995005780284897E-3</v>
      </c>
      <c r="R15" s="39">
        <f t="shared" si="1"/>
        <v>6.5596742173199083E-3</v>
      </c>
      <c r="S15" s="39">
        <f t="shared" si="1"/>
        <v>6.621455439892808E-3</v>
      </c>
      <c r="T15" s="39">
        <f t="shared" si="1"/>
        <v>6.6839710109317498E-3</v>
      </c>
      <c r="U15" s="39">
        <f t="shared" si="1"/>
        <v>6.7471939547798275E-3</v>
      </c>
      <c r="V15" s="39">
        <f t="shared" si="1"/>
        <v>6.811072266003932E-3</v>
      </c>
      <c r="W15" s="39">
        <f t="shared" si="1"/>
        <v>6.8755394609996221E-3</v>
      </c>
      <c r="X15" s="39">
        <f t="shared" si="1"/>
        <v>6.9405225580458788E-3</v>
      </c>
      <c r="Y15" s="39">
        <f t="shared" si="1"/>
        <v>7.0059800905369132E-3</v>
      </c>
      <c r="Z15" s="39">
        <f t="shared" si="1"/>
        <v>7.071837571582998E-3</v>
      </c>
      <c r="AA15" s="39">
        <f t="shared" si="1"/>
        <v>7.138015388216434E-3</v>
      </c>
      <c r="AB15" s="39">
        <f t="shared" si="1"/>
        <v>7.2044317962332745E-3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56.795517382743974</v>
      </c>
      <c r="C48" s="37">
        <f t="shared" si="10"/>
        <v>56.920568829511645</v>
      </c>
      <c r="D48" s="37">
        <f t="shared" si="10"/>
        <v>56.435191784471769</v>
      </c>
      <c r="E48" s="37">
        <f t="shared" si="10"/>
        <v>55.957399019812684</v>
      </c>
      <c r="F48" s="37">
        <f t="shared" si="10"/>
        <v>55.475387523659464</v>
      </c>
      <c r="G48" s="37">
        <f t="shared" si="10"/>
        <v>54.989233791121684</v>
      </c>
      <c r="H48" s="37">
        <f t="shared" si="10"/>
        <v>54.499294342033863</v>
      </c>
      <c r="I48" s="37">
        <f t="shared" si="10"/>
        <v>54.535148938347056</v>
      </c>
      <c r="J48" s="37">
        <f t="shared" si="10"/>
        <v>54.525240587975027</v>
      </c>
      <c r="K48" s="37">
        <f t="shared" si="10"/>
        <v>54.516702221233373</v>
      </c>
      <c r="L48" s="37">
        <f t="shared" si="10"/>
        <v>54.465908766758936</v>
      </c>
      <c r="M48" s="37">
        <f t="shared" si="10"/>
        <v>54.416611345378939</v>
      </c>
      <c r="N48" s="37">
        <f t="shared" si="10"/>
        <v>54.375603016376026</v>
      </c>
      <c r="O48" s="37">
        <f t="shared" si="10"/>
        <v>54.252763275747199</v>
      </c>
      <c r="P48" s="37">
        <f t="shared" si="10"/>
        <v>54.144109016336941</v>
      </c>
      <c r="Q48" s="37">
        <f t="shared" si="10"/>
        <v>53.990792708582291</v>
      </c>
      <c r="R48" s="37">
        <f t="shared" si="10"/>
        <v>53.824912023870887</v>
      </c>
      <c r="S48" s="37">
        <f t="shared" si="10"/>
        <v>53.639684864463582</v>
      </c>
      <c r="T48" s="37">
        <f t="shared" si="10"/>
        <v>53.447413319859095</v>
      </c>
      <c r="U48" s="37">
        <f t="shared" si="10"/>
        <v>53.247654209459597</v>
      </c>
      <c r="V48" s="37">
        <f t="shared" si="10"/>
        <v>53.039780718104822</v>
      </c>
      <c r="W48" s="37">
        <f t="shared" si="10"/>
        <v>52.830054493133026</v>
      </c>
      <c r="X48" s="37">
        <f t="shared" si="10"/>
        <v>52.667242943114616</v>
      </c>
      <c r="Y48" s="37">
        <f t="shared" si="10"/>
        <v>52.495587533354012</v>
      </c>
      <c r="Z48" s="37">
        <f t="shared" si="10"/>
        <v>52.350287314811311</v>
      </c>
      <c r="AA48" s="37">
        <f t="shared" si="10"/>
        <v>52.202676588427842</v>
      </c>
      <c r="AB48" s="37">
        <f t="shared" si="10"/>
        <v>52.044968671241676</v>
      </c>
    </row>
    <row r="49" spans="1:28" x14ac:dyDescent="0.25">
      <c r="A49" s="4" t="s">
        <v>216</v>
      </c>
      <c r="B49" s="37">
        <f t="shared" ref="B49:AB49" si="11">B29*B15*$F$5</f>
        <v>43.968652283356953</v>
      </c>
      <c r="C49" s="37">
        <f t="shared" si="11"/>
        <v>44.157841749577258</v>
      </c>
      <c r="D49" s="37">
        <f t="shared" si="11"/>
        <v>43.879025311706748</v>
      </c>
      <c r="E49" s="37">
        <f t="shared" si="11"/>
        <v>43.600047331229533</v>
      </c>
      <c r="F49" s="37">
        <f t="shared" si="11"/>
        <v>43.315331380531752</v>
      </c>
      <c r="G49" s="37">
        <f t="shared" si="11"/>
        <v>43.036781653898366</v>
      </c>
      <c r="H49" s="37">
        <f t="shared" si="11"/>
        <v>42.758807299639685</v>
      </c>
      <c r="I49" s="37">
        <f t="shared" si="11"/>
        <v>42.850091711094009</v>
      </c>
      <c r="J49" s="37">
        <f t="shared" si="11"/>
        <v>42.958634963892067</v>
      </c>
      <c r="K49" s="37">
        <f t="shared" si="11"/>
        <v>43.029091866321579</v>
      </c>
      <c r="L49" s="37">
        <f t="shared" si="11"/>
        <v>43.109692191313584</v>
      </c>
      <c r="M49" s="37">
        <f t="shared" si="11"/>
        <v>43.151613977071193</v>
      </c>
      <c r="N49" s="37">
        <f t="shared" si="11"/>
        <v>43.160265672917788</v>
      </c>
      <c r="O49" s="37">
        <f t="shared" si="11"/>
        <v>43.1978494570102</v>
      </c>
      <c r="P49" s="37">
        <f t="shared" si="11"/>
        <v>43.170157591274496</v>
      </c>
      <c r="Q49" s="37">
        <f t="shared" si="11"/>
        <v>43.152311954384615</v>
      </c>
      <c r="R49" s="37">
        <f t="shared" si="11"/>
        <v>43.09937153301604</v>
      </c>
      <c r="S49" s="37">
        <f t="shared" si="11"/>
        <v>43.048581675295821</v>
      </c>
      <c r="T49" s="37">
        <f t="shared" si="11"/>
        <v>42.980820555434939</v>
      </c>
      <c r="U49" s="37">
        <f t="shared" si="11"/>
        <v>42.908687551711772</v>
      </c>
      <c r="V49" s="37">
        <f t="shared" si="11"/>
        <v>42.845127729905691</v>
      </c>
      <c r="W49" s="37">
        <f t="shared" si="11"/>
        <v>42.783194521645811</v>
      </c>
      <c r="X49" s="37">
        <f t="shared" si="11"/>
        <v>42.708831373950559</v>
      </c>
      <c r="Y49" s="37">
        <f t="shared" si="11"/>
        <v>42.656004089260172</v>
      </c>
      <c r="Z49" s="37">
        <f t="shared" si="11"/>
        <v>42.590103747957968</v>
      </c>
      <c r="AA49" s="37">
        <f t="shared" si="11"/>
        <v>42.538516263535698</v>
      </c>
      <c r="AB49" s="37">
        <f t="shared" si="11"/>
        <v>42.522582460735933</v>
      </c>
    </row>
    <row r="50" spans="1:28" x14ac:dyDescent="0.25">
      <c r="A50" s="4" t="s">
        <v>217</v>
      </c>
      <c r="B50" s="37">
        <f t="shared" ref="B50:AB50" si="12">B30*B15*$F$6</f>
        <v>71.861133408736421</v>
      </c>
      <c r="C50" s="37">
        <f t="shared" si="12"/>
        <v>72.088347792578119</v>
      </c>
      <c r="D50" s="37">
        <f t="shared" si="12"/>
        <v>71.558156840342008</v>
      </c>
      <c r="E50" s="37">
        <f t="shared" si="12"/>
        <v>71.022752388003482</v>
      </c>
      <c r="F50" s="37">
        <f t="shared" si="12"/>
        <v>70.489994753256042</v>
      </c>
      <c r="G50" s="37">
        <f t="shared" si="12"/>
        <v>69.967341728394956</v>
      </c>
      <c r="H50" s="37">
        <f t="shared" si="12"/>
        <v>69.425905259856194</v>
      </c>
      <c r="I50" s="37">
        <f t="shared" si="12"/>
        <v>69.538970102462685</v>
      </c>
      <c r="J50" s="37">
        <f t="shared" si="12"/>
        <v>69.612776262453593</v>
      </c>
      <c r="K50" s="37">
        <f t="shared" si="12"/>
        <v>69.651771348624962</v>
      </c>
      <c r="L50" s="37">
        <f t="shared" si="12"/>
        <v>69.647943498304429</v>
      </c>
      <c r="M50" s="37">
        <f t="shared" si="12"/>
        <v>69.600611344291707</v>
      </c>
      <c r="N50" s="37">
        <f t="shared" si="12"/>
        <v>69.508995397377674</v>
      </c>
      <c r="O50" s="37">
        <f t="shared" si="12"/>
        <v>69.348815858284695</v>
      </c>
      <c r="P50" s="37">
        <f t="shared" si="12"/>
        <v>69.150067717703493</v>
      </c>
      <c r="Q50" s="37">
        <f t="shared" si="12"/>
        <v>68.903877693654294</v>
      </c>
      <c r="R50" s="37">
        <f t="shared" si="12"/>
        <v>68.609003787151551</v>
      </c>
      <c r="S50" s="37">
        <f t="shared" si="12"/>
        <v>68.289250362355119</v>
      </c>
      <c r="T50" s="37">
        <f t="shared" si="12"/>
        <v>67.958938132154259</v>
      </c>
      <c r="U50" s="37">
        <f t="shared" si="12"/>
        <v>67.617475378447111</v>
      </c>
      <c r="V50" s="37">
        <f t="shared" si="12"/>
        <v>67.272388495586654</v>
      </c>
      <c r="W50" s="37">
        <f t="shared" si="12"/>
        <v>66.939838057438209</v>
      </c>
      <c r="X50" s="37">
        <f t="shared" si="12"/>
        <v>66.628093992800743</v>
      </c>
      <c r="Y50" s="37">
        <f t="shared" si="12"/>
        <v>66.320332021026431</v>
      </c>
      <c r="Z50" s="37">
        <f t="shared" si="12"/>
        <v>66.024817301228779</v>
      </c>
      <c r="AA50" s="37">
        <f t="shared" si="12"/>
        <v>65.758887985557976</v>
      </c>
      <c r="AB50" s="37">
        <f t="shared" si="12"/>
        <v>65.505234992340462</v>
      </c>
    </row>
    <row r="51" spans="1:28" x14ac:dyDescent="0.25">
      <c r="A51" s="4" t="s">
        <v>218</v>
      </c>
      <c r="B51" s="37">
        <f t="shared" ref="B51:AB51" si="13">B31*B15*$F$7</f>
        <v>2.244468227541971</v>
      </c>
      <c r="C51" s="37">
        <f t="shared" si="13"/>
        <v>2.2359856828218452</v>
      </c>
      <c r="D51" s="37">
        <f t="shared" si="13"/>
        <v>2.2041268660736613</v>
      </c>
      <c r="E51" s="37">
        <f t="shared" si="13"/>
        <v>2.1716164372428093</v>
      </c>
      <c r="F51" s="37">
        <f t="shared" si="13"/>
        <v>2.1384651344478902</v>
      </c>
      <c r="G51" s="37">
        <f t="shared" si="13"/>
        <v>2.1056374813057439</v>
      </c>
      <c r="H51" s="37">
        <f t="shared" si="13"/>
        <v>2.0716911648933998</v>
      </c>
      <c r="I51" s="37">
        <f t="shared" si="13"/>
        <v>2.0573852407108606</v>
      </c>
      <c r="J51" s="37">
        <f t="shared" si="13"/>
        <v>2.0427004844884444</v>
      </c>
      <c r="K51" s="37">
        <f t="shared" si="13"/>
        <v>2.0275707828857881</v>
      </c>
      <c r="L51" s="37">
        <f t="shared" si="13"/>
        <v>2.0130062877334987</v>
      </c>
      <c r="M51" s="37">
        <f t="shared" si="13"/>
        <v>1.9995460354324055</v>
      </c>
      <c r="N51" s="37">
        <f t="shared" si="13"/>
        <v>1.985704724908091</v>
      </c>
      <c r="O51" s="37">
        <f t="shared" si="13"/>
        <v>1.9730305321003774</v>
      </c>
      <c r="P51" s="37">
        <f t="shared" si="13"/>
        <v>1.9600076347894553</v>
      </c>
      <c r="Q51" s="37">
        <f t="shared" si="13"/>
        <v>1.9476812229921807</v>
      </c>
      <c r="R51" s="37">
        <f t="shared" si="13"/>
        <v>1.9355447758548652</v>
      </c>
      <c r="S51" s="37">
        <f t="shared" si="13"/>
        <v>1.923321793817955</v>
      </c>
      <c r="T51" s="37">
        <f t="shared" si="13"/>
        <v>1.911279766024705</v>
      </c>
      <c r="U51" s="37">
        <f t="shared" si="13"/>
        <v>1.8988718752551099</v>
      </c>
      <c r="V51" s="37">
        <f t="shared" si="13"/>
        <v>1.8871732427652457</v>
      </c>
      <c r="W51" s="37">
        <f t="shared" si="13"/>
        <v>1.8745238136827043</v>
      </c>
      <c r="X51" s="37">
        <f t="shared" si="13"/>
        <v>1.862560576194495</v>
      </c>
      <c r="Y51" s="37">
        <f t="shared" si="13"/>
        <v>1.8518626952832364</v>
      </c>
      <c r="Z51" s="37">
        <f t="shared" si="13"/>
        <v>1.8407407696918066</v>
      </c>
      <c r="AA51" s="37">
        <f t="shared" si="13"/>
        <v>1.8303214274903432</v>
      </c>
      <c r="AB51" s="37">
        <f t="shared" si="13"/>
        <v>1.8194497393177584</v>
      </c>
    </row>
    <row r="52" spans="1:28" x14ac:dyDescent="0.25">
      <c r="A52" s="4" t="s">
        <v>219</v>
      </c>
      <c r="B52" s="37">
        <f t="shared" ref="B52:AB52" si="14">B32*B15*$F$8</f>
        <v>1.5010371680885961</v>
      </c>
      <c r="C52" s="37">
        <f t="shared" si="14"/>
        <v>1.5210591599363588</v>
      </c>
      <c r="D52" s="37">
        <f t="shared" si="14"/>
        <v>1.5250816149899935</v>
      </c>
      <c r="E52" s="37">
        <f t="shared" si="14"/>
        <v>1.5310406446627618</v>
      </c>
      <c r="F52" s="37">
        <f t="shared" si="14"/>
        <v>1.5371927865907344</v>
      </c>
      <c r="G52" s="37">
        <f t="shared" si="14"/>
        <v>1.5435473911237156</v>
      </c>
      <c r="H52" s="37">
        <f t="shared" si="14"/>
        <v>1.5501223964779831</v>
      </c>
      <c r="I52" s="37">
        <f t="shared" si="14"/>
        <v>1.571309872243752</v>
      </c>
      <c r="J52" s="37">
        <f t="shared" si="14"/>
        <v>1.5927957982737766</v>
      </c>
      <c r="K52" s="37">
        <f t="shared" si="14"/>
        <v>1.6181462993479465</v>
      </c>
      <c r="L52" s="37">
        <f t="shared" si="14"/>
        <v>1.6401933254886456</v>
      </c>
      <c r="M52" s="37">
        <f t="shared" si="14"/>
        <v>1.6625263945522999</v>
      </c>
      <c r="N52" s="37">
        <f t="shared" si="14"/>
        <v>1.6851585612029556</v>
      </c>
      <c r="O52" s="37">
        <f t="shared" si="14"/>
        <v>1.7081033061325459</v>
      </c>
      <c r="P52" s="37">
        <f t="shared" si="14"/>
        <v>1.7294842164744857</v>
      </c>
      <c r="Q52" s="37">
        <f t="shared" si="14"/>
        <v>1.7530683764449193</v>
      </c>
      <c r="R52" s="37">
        <f t="shared" si="14"/>
        <v>1.7731449254754961</v>
      </c>
      <c r="S52" s="37">
        <f t="shared" si="14"/>
        <v>1.7956687926620971</v>
      </c>
      <c r="T52" s="37">
        <f t="shared" si="14"/>
        <v>1.8204607223049012</v>
      </c>
      <c r="U52" s="37">
        <f t="shared" si="14"/>
        <v>1.841636513883889</v>
      </c>
      <c r="V52" s="37">
        <f t="shared" si="14"/>
        <v>1.8650625685336912</v>
      </c>
      <c r="W52" s="37">
        <f t="shared" si="14"/>
        <v>1.8887627602214725</v>
      </c>
      <c r="X52" s="37">
        <f t="shared" si="14"/>
        <v>1.910683723007838</v>
      </c>
      <c r="Y52" s="37">
        <f t="shared" si="14"/>
        <v>1.9369197748590257</v>
      </c>
      <c r="Z52" s="37">
        <f t="shared" si="14"/>
        <v>1.9592737825362923</v>
      </c>
      <c r="AA52" s="37">
        <f t="shared" si="14"/>
        <v>1.9817939597766356</v>
      </c>
      <c r="AB52" s="37">
        <f t="shared" si="14"/>
        <v>2.0044581267328017</v>
      </c>
    </row>
    <row r="53" spans="1:28" x14ac:dyDescent="0.25">
      <c r="A53" s="4" t="s">
        <v>220</v>
      </c>
      <c r="B53" s="37">
        <f t="shared" ref="B53:AB53" si="15">B33*B15*$F$9</f>
        <v>9.3100600309319628</v>
      </c>
      <c r="C53" s="37">
        <f t="shared" si="15"/>
        <v>9.4820003935002717</v>
      </c>
      <c r="D53" s="37">
        <f t="shared" si="15"/>
        <v>9.5360614697665245</v>
      </c>
      <c r="E53" s="37">
        <f t="shared" si="15"/>
        <v>9.6035640193314098</v>
      </c>
      <c r="F53" s="37">
        <f t="shared" si="15"/>
        <v>9.6660591526401678</v>
      </c>
      <c r="G53" s="37">
        <f t="shared" si="15"/>
        <v>9.7174481181830537</v>
      </c>
      <c r="H53" s="37">
        <f t="shared" si="15"/>
        <v>9.7949198249339435</v>
      </c>
      <c r="I53" s="37">
        <f t="shared" si="15"/>
        <v>9.9401130032308718</v>
      </c>
      <c r="J53" s="37">
        <f t="shared" si="15"/>
        <v>10.093687365131284</v>
      </c>
      <c r="K53" s="37">
        <f t="shared" si="15"/>
        <v>10.230168659773224</v>
      </c>
      <c r="L53" s="37">
        <f t="shared" si="15"/>
        <v>10.374750919669172</v>
      </c>
      <c r="M53" s="37">
        <f t="shared" si="15"/>
        <v>10.501848529445308</v>
      </c>
      <c r="N53" s="37">
        <f t="shared" si="15"/>
        <v>10.643622361793202</v>
      </c>
      <c r="O53" s="37">
        <f t="shared" si="15"/>
        <v>10.774185539820806</v>
      </c>
      <c r="P53" s="37">
        <f t="shared" si="15"/>
        <v>10.893248031184408</v>
      </c>
      <c r="Q53" s="37">
        <f t="shared" si="15"/>
        <v>11.000489840889662</v>
      </c>
      <c r="R53" s="37">
        <f t="shared" si="15"/>
        <v>11.109100104185606</v>
      </c>
      <c r="S53" s="37">
        <f t="shared" si="15"/>
        <v>11.213729353045121</v>
      </c>
      <c r="T53" s="37">
        <f t="shared" si="15"/>
        <v>11.29202709595701</v>
      </c>
      <c r="U53" s="37">
        <f t="shared" si="15"/>
        <v>11.38491913950249</v>
      </c>
      <c r="V53" s="37">
        <f t="shared" si="15"/>
        <v>11.464605077835246</v>
      </c>
      <c r="W53" s="37">
        <f t="shared" si="15"/>
        <v>11.544752745591429</v>
      </c>
      <c r="X53" s="37">
        <f t="shared" si="15"/>
        <v>11.639549400383888</v>
      </c>
      <c r="Y53" s="37">
        <f t="shared" si="15"/>
        <v>11.713194912413492</v>
      </c>
      <c r="Z53" s="37">
        <f t="shared" si="15"/>
        <v>11.808713401615867</v>
      </c>
      <c r="AA53" s="37">
        <f t="shared" si="15"/>
        <v>11.882408173729303</v>
      </c>
      <c r="AB53" s="37">
        <f t="shared" si="15"/>
        <v>11.97810810251603</v>
      </c>
    </row>
    <row r="54" spans="1:28" x14ac:dyDescent="0.25">
      <c r="A54" s="4" t="s">
        <v>221</v>
      </c>
      <c r="B54" s="37">
        <f t="shared" ref="B54:AB54" si="16">B34*B15*$F$10</f>
        <v>16.735302292675424</v>
      </c>
      <c r="C54" s="37">
        <f t="shared" si="16"/>
        <v>16.970043742272367</v>
      </c>
      <c r="D54" s="37">
        <f t="shared" si="16"/>
        <v>17.035177166068628</v>
      </c>
      <c r="E54" s="37">
        <f t="shared" si="16"/>
        <v>17.106669773765482</v>
      </c>
      <c r="F54" s="37">
        <f t="shared" si="16"/>
        <v>17.193485532164004</v>
      </c>
      <c r="G54" s="37">
        <f t="shared" si="16"/>
        <v>17.264993061306541</v>
      </c>
      <c r="H54" s="37">
        <f t="shared" si="16"/>
        <v>17.334578131446079</v>
      </c>
      <c r="I54" s="37">
        <f t="shared" si="16"/>
        <v>17.563108299590585</v>
      </c>
      <c r="J54" s="37">
        <f t="shared" si="16"/>
        <v>17.785887235100223</v>
      </c>
      <c r="K54" s="37">
        <f t="shared" si="16"/>
        <v>18.002201193401742</v>
      </c>
      <c r="L54" s="37">
        <f t="shared" si="16"/>
        <v>18.207415084594452</v>
      </c>
      <c r="M54" s="37">
        <f t="shared" si="16"/>
        <v>18.401305780507339</v>
      </c>
      <c r="N54" s="37">
        <f t="shared" si="16"/>
        <v>18.583628261005511</v>
      </c>
      <c r="O54" s="37">
        <f t="shared" si="16"/>
        <v>18.754132383433056</v>
      </c>
      <c r="P54" s="37">
        <f t="shared" si="16"/>
        <v>18.898381389647867</v>
      </c>
      <c r="Q54" s="37">
        <f t="shared" si="16"/>
        <v>19.029942120407405</v>
      </c>
      <c r="R54" s="37">
        <f t="shared" si="16"/>
        <v>19.134029958433182</v>
      </c>
      <c r="S54" s="37">
        <f t="shared" si="16"/>
        <v>19.241466621778937</v>
      </c>
      <c r="T54" s="37">
        <f t="shared" si="16"/>
        <v>19.330081501739741</v>
      </c>
      <c r="U54" s="37">
        <f t="shared" si="16"/>
        <v>19.399216700241805</v>
      </c>
      <c r="V54" s="37">
        <f t="shared" si="16"/>
        <v>19.468094228678677</v>
      </c>
      <c r="W54" s="37">
        <f t="shared" si="16"/>
        <v>19.511303168146295</v>
      </c>
      <c r="X54" s="37">
        <f t="shared" si="16"/>
        <v>19.578747285334575</v>
      </c>
      <c r="Y54" s="37">
        <f t="shared" si="16"/>
        <v>19.640198174780377</v>
      </c>
      <c r="Z54" s="37">
        <f t="shared" si="16"/>
        <v>19.700461079948369</v>
      </c>
      <c r="AA54" s="37">
        <f t="shared" si="16"/>
        <v>19.764524612511689</v>
      </c>
      <c r="AB54" s="37">
        <f t="shared" si="16"/>
        <v>19.83757177778072</v>
      </c>
    </row>
    <row r="55" spans="1:28" x14ac:dyDescent="0.25">
      <c r="A55" s="4" t="s">
        <v>222</v>
      </c>
      <c r="B55" s="37">
        <f t="shared" ref="B55:AB55" si="17">B35*B15*$F$11</f>
        <v>82.781976406688116</v>
      </c>
      <c r="C55" s="37">
        <f t="shared" si="17"/>
        <v>82.776485158383892</v>
      </c>
      <c r="D55" s="37">
        <f t="shared" si="17"/>
        <v>81.87128638626973</v>
      </c>
      <c r="E55" s="37">
        <f t="shared" si="17"/>
        <v>80.96462886814497</v>
      </c>
      <c r="F55" s="37">
        <f t="shared" si="17"/>
        <v>80.025076277012545</v>
      </c>
      <c r="G55" s="37">
        <f t="shared" si="17"/>
        <v>79.11008771783051</v>
      </c>
      <c r="H55" s="37">
        <f t="shared" si="17"/>
        <v>78.19454283301944</v>
      </c>
      <c r="I55" s="37">
        <f t="shared" si="17"/>
        <v>77.998695611751359</v>
      </c>
      <c r="J55" s="37">
        <f t="shared" si="17"/>
        <v>77.781843285496066</v>
      </c>
      <c r="K55" s="37">
        <f t="shared" si="17"/>
        <v>77.534666245157581</v>
      </c>
      <c r="L55" s="37">
        <f t="shared" si="17"/>
        <v>77.270248485634923</v>
      </c>
      <c r="M55" s="37">
        <f t="shared" si="17"/>
        <v>76.982058491727344</v>
      </c>
      <c r="N55" s="37">
        <f t="shared" si="17"/>
        <v>76.683423995016526</v>
      </c>
      <c r="O55" s="37">
        <f t="shared" si="17"/>
        <v>76.347373630162409</v>
      </c>
      <c r="P55" s="37">
        <f t="shared" si="17"/>
        <v>75.993822583380521</v>
      </c>
      <c r="Q55" s="37">
        <f t="shared" si="17"/>
        <v>75.62249238344441</v>
      </c>
      <c r="R55" s="37">
        <f t="shared" si="17"/>
        <v>75.239980218788745</v>
      </c>
      <c r="S55" s="37">
        <f t="shared" si="17"/>
        <v>74.834627474095612</v>
      </c>
      <c r="T55" s="37">
        <f t="shared" si="17"/>
        <v>74.430896878003566</v>
      </c>
      <c r="U55" s="37">
        <f t="shared" si="17"/>
        <v>74.042894805653972</v>
      </c>
      <c r="V55" s="37">
        <f t="shared" si="17"/>
        <v>73.656018200115483</v>
      </c>
      <c r="W55" s="37">
        <f t="shared" si="17"/>
        <v>73.306258196600723</v>
      </c>
      <c r="X55" s="37">
        <f t="shared" si="17"/>
        <v>72.957068268978816</v>
      </c>
      <c r="Y55" s="37">
        <f t="shared" si="17"/>
        <v>72.630581471685758</v>
      </c>
      <c r="Z55" s="37">
        <f t="shared" si="17"/>
        <v>72.319345244724332</v>
      </c>
      <c r="AA55" s="37">
        <f t="shared" si="17"/>
        <v>72.015628552958347</v>
      </c>
      <c r="AB55" s="37">
        <f t="shared" si="17"/>
        <v>71.72679115319275</v>
      </c>
    </row>
    <row r="57" spans="1:28" x14ac:dyDescent="0.25">
      <c r="A57" s="4" t="s">
        <v>327</v>
      </c>
    </row>
    <row r="58" spans="1:28" x14ac:dyDescent="0.25">
      <c r="A58" s="4" t="s">
        <v>215</v>
      </c>
      <c r="B58" s="37">
        <f t="shared" ref="B58:AB58" si="18">B38*B15*$F$4</f>
        <v>9006.2808224343189</v>
      </c>
      <c r="C58" s="37">
        <f t="shared" si="18"/>
        <v>9260.3854034677061</v>
      </c>
      <c r="D58" s="37">
        <f t="shared" si="18"/>
        <v>9416.9010526174061</v>
      </c>
      <c r="E58" s="37">
        <f t="shared" si="18"/>
        <v>9573.6501443719917</v>
      </c>
      <c r="F58" s="37">
        <f t="shared" si="18"/>
        <v>9731.4606123722097</v>
      </c>
      <c r="G58" s="37">
        <f t="shared" si="18"/>
        <v>9890.627654707172</v>
      </c>
      <c r="H58" s="37">
        <f t="shared" si="18"/>
        <v>10050.482990585291</v>
      </c>
      <c r="I58" s="37">
        <f t="shared" si="18"/>
        <v>10304.69633450149</v>
      </c>
      <c r="J58" s="37">
        <f t="shared" si="18"/>
        <v>10559.876301738001</v>
      </c>
      <c r="K58" s="37">
        <f t="shared" si="18"/>
        <v>10815.782748731906</v>
      </c>
      <c r="L58" s="37">
        <f t="shared" si="18"/>
        <v>11071.432672636358</v>
      </c>
      <c r="M58" s="37">
        <f t="shared" si="18"/>
        <v>11326.553422231125</v>
      </c>
      <c r="N58" s="37">
        <f t="shared" si="18"/>
        <v>11579.885662599576</v>
      </c>
      <c r="O58" s="37">
        <f t="shared" si="18"/>
        <v>11830.865179771623</v>
      </c>
      <c r="P58" s="37">
        <f t="shared" si="18"/>
        <v>12077.8226068147</v>
      </c>
      <c r="Q58" s="37">
        <f t="shared" si="18"/>
        <v>12320.329502770233</v>
      </c>
      <c r="R58" s="37">
        <f t="shared" si="18"/>
        <v>12556.310095301205</v>
      </c>
      <c r="S58" s="37">
        <f t="shared" si="18"/>
        <v>12787.305730937676</v>
      </c>
      <c r="T58" s="37">
        <f t="shared" si="18"/>
        <v>13010.744729124237</v>
      </c>
      <c r="U58" s="37">
        <f t="shared" si="18"/>
        <v>13227.036408084259</v>
      </c>
      <c r="V58" s="37">
        <f t="shared" si="18"/>
        <v>13432.689102391503</v>
      </c>
      <c r="W58" s="37">
        <f t="shared" si="18"/>
        <v>13628.116498019497</v>
      </c>
      <c r="X58" s="37">
        <f t="shared" si="18"/>
        <v>13812.194017867323</v>
      </c>
      <c r="Y58" s="37">
        <f t="shared" si="18"/>
        <v>13990.283832458326</v>
      </c>
      <c r="Z58" s="37">
        <f t="shared" si="18"/>
        <v>14156.999058077126</v>
      </c>
      <c r="AA58" s="37">
        <f t="shared" si="18"/>
        <v>14312.835111115926</v>
      </c>
      <c r="AB58" s="37">
        <f t="shared" si="18"/>
        <v>14458.740117076652</v>
      </c>
    </row>
    <row r="59" spans="1:28" x14ac:dyDescent="0.25">
      <c r="A59" s="4" t="s">
        <v>216</v>
      </c>
      <c r="B59" s="37">
        <f t="shared" ref="B59:AB59" si="19">B39*B15*$F$5</f>
        <v>8216.6887703481552</v>
      </c>
      <c r="C59" s="37">
        <f t="shared" si="19"/>
        <v>8426.6333082678811</v>
      </c>
      <c r="D59" s="37">
        <f t="shared" si="19"/>
        <v>8548.1922255721893</v>
      </c>
      <c r="E59" s="37">
        <f t="shared" si="19"/>
        <v>8674.3830210509077</v>
      </c>
      <c r="F59" s="37">
        <f t="shared" si="19"/>
        <v>8807.6672119718387</v>
      </c>
      <c r="G59" s="37">
        <f t="shared" si="19"/>
        <v>8948.5225677908165</v>
      </c>
      <c r="H59" s="37">
        <f t="shared" si="19"/>
        <v>9097.7903081048189</v>
      </c>
      <c r="I59" s="37">
        <f t="shared" si="19"/>
        <v>9340.057769947387</v>
      </c>
      <c r="J59" s="37">
        <f t="shared" si="19"/>
        <v>9591.9241787517058</v>
      </c>
      <c r="K59" s="37">
        <f t="shared" si="19"/>
        <v>9851.1155785199717</v>
      </c>
      <c r="L59" s="37">
        <f t="shared" si="19"/>
        <v>10117.555972533852</v>
      </c>
      <c r="M59" s="37">
        <f t="shared" si="19"/>
        <v>10390.746881150742</v>
      </c>
      <c r="N59" s="37">
        <f t="shared" si="19"/>
        <v>10668.554724689207</v>
      </c>
      <c r="O59" s="37">
        <f t="shared" si="19"/>
        <v>10948.869074725333</v>
      </c>
      <c r="P59" s="37">
        <f t="shared" si="19"/>
        <v>11231.189573255468</v>
      </c>
      <c r="Q59" s="37">
        <f t="shared" si="19"/>
        <v>11512.361814042462</v>
      </c>
      <c r="R59" s="37">
        <f t="shared" si="19"/>
        <v>11791.381764533098</v>
      </c>
      <c r="S59" s="37">
        <f t="shared" si="19"/>
        <v>12067.519605171556</v>
      </c>
      <c r="T59" s="37">
        <f t="shared" si="19"/>
        <v>12338.156279597446</v>
      </c>
      <c r="U59" s="37">
        <f t="shared" si="19"/>
        <v>12601.883960415033</v>
      </c>
      <c r="V59" s="37">
        <f t="shared" si="19"/>
        <v>12855.52487251307</v>
      </c>
      <c r="W59" s="37">
        <f t="shared" si="19"/>
        <v>13096.074727555228</v>
      </c>
      <c r="X59" s="37">
        <f t="shared" si="19"/>
        <v>13323.760256310639</v>
      </c>
      <c r="Y59" s="37">
        <f t="shared" si="19"/>
        <v>13544.389291325429</v>
      </c>
      <c r="Z59" s="37">
        <f t="shared" si="19"/>
        <v>13751.795400056049</v>
      </c>
      <c r="AA59" s="37">
        <f t="shared" si="19"/>
        <v>13943.377268400884</v>
      </c>
      <c r="AB59" s="37">
        <f t="shared" si="19"/>
        <v>14118.846173402984</v>
      </c>
    </row>
    <row r="60" spans="1:28" x14ac:dyDescent="0.25">
      <c r="A60" s="4" t="s">
        <v>217</v>
      </c>
      <c r="B60" s="37">
        <f t="shared" ref="B60:AB60" si="20">B40*B15*$F$6</f>
        <v>17088.385078470317</v>
      </c>
      <c r="C60" s="37">
        <f t="shared" si="20"/>
        <v>17544.925833852412</v>
      </c>
      <c r="D60" s="37">
        <f t="shared" si="20"/>
        <v>17815.517081352722</v>
      </c>
      <c r="E60" s="37">
        <f t="shared" si="20"/>
        <v>18089.317898966747</v>
      </c>
      <c r="F60" s="37">
        <f t="shared" si="20"/>
        <v>18370.055513663596</v>
      </c>
      <c r="G60" s="37">
        <f t="shared" si="20"/>
        <v>18657.835418085633</v>
      </c>
      <c r="H60" s="37">
        <f t="shared" si="20"/>
        <v>18953.374902135882</v>
      </c>
      <c r="I60" s="37">
        <f t="shared" si="20"/>
        <v>19432.608900270312</v>
      </c>
      <c r="J60" s="37">
        <f t="shared" si="20"/>
        <v>19920.675499532575</v>
      </c>
      <c r="K60" s="37">
        <f t="shared" si="20"/>
        <v>20414.13161043105</v>
      </c>
      <c r="L60" s="37">
        <f t="shared" si="20"/>
        <v>20911.897794626806</v>
      </c>
      <c r="M60" s="37">
        <f t="shared" si="20"/>
        <v>21413.137736904224</v>
      </c>
      <c r="N60" s="37">
        <f t="shared" si="20"/>
        <v>21913.890986884271</v>
      </c>
      <c r="O60" s="37">
        <f t="shared" si="20"/>
        <v>22411.808454229576</v>
      </c>
      <c r="P60" s="37">
        <f t="shared" si="20"/>
        <v>22903.759271439467</v>
      </c>
      <c r="Q60" s="37">
        <f t="shared" si="20"/>
        <v>23386.333038083885</v>
      </c>
      <c r="R60" s="37">
        <f t="shared" si="20"/>
        <v>23856.119372156176</v>
      </c>
      <c r="S60" s="37">
        <f t="shared" si="20"/>
        <v>24313.741063667811</v>
      </c>
      <c r="T60" s="37">
        <f t="shared" si="20"/>
        <v>24754.104667740154</v>
      </c>
      <c r="U60" s="37">
        <f t="shared" si="20"/>
        <v>25176.496408016941</v>
      </c>
      <c r="V60" s="37">
        <f t="shared" si="20"/>
        <v>25573.451951855044</v>
      </c>
      <c r="W60" s="37">
        <f t="shared" si="20"/>
        <v>25942.120395537837</v>
      </c>
      <c r="X60" s="37">
        <f t="shared" si="20"/>
        <v>26282.081711261577</v>
      </c>
      <c r="Y60" s="37">
        <f t="shared" si="20"/>
        <v>26605.918776697858</v>
      </c>
      <c r="Z60" s="37">
        <f t="shared" si="20"/>
        <v>26901.029845294208</v>
      </c>
      <c r="AA60" s="37">
        <f t="shared" si="20"/>
        <v>27164.799743935844</v>
      </c>
      <c r="AB60" s="37">
        <f t="shared" si="20"/>
        <v>27398.577981105973</v>
      </c>
    </row>
    <row r="61" spans="1:28" x14ac:dyDescent="0.25">
      <c r="A61" s="4" t="s">
        <v>218</v>
      </c>
      <c r="B61" s="37">
        <f t="shared" ref="B61:AB61" si="21">B41*B15*$F$7</f>
        <v>173.52359064680189</v>
      </c>
      <c r="C61" s="37">
        <f t="shared" si="21"/>
        <v>177.87108643067296</v>
      </c>
      <c r="D61" s="37">
        <f t="shared" si="21"/>
        <v>180.35983345747147</v>
      </c>
      <c r="E61" s="37">
        <f t="shared" si="21"/>
        <v>182.87390520290452</v>
      </c>
      <c r="F61" s="37">
        <f t="shared" si="21"/>
        <v>185.47353403037803</v>
      </c>
      <c r="G61" s="37">
        <f t="shared" si="21"/>
        <v>188.16434679455423</v>
      </c>
      <c r="H61" s="37">
        <f t="shared" si="21"/>
        <v>190.94247948744868</v>
      </c>
      <c r="I61" s="37">
        <f t="shared" si="21"/>
        <v>195.60614552660888</v>
      </c>
      <c r="J61" s="37">
        <f t="shared" si="21"/>
        <v>200.3976747702778</v>
      </c>
      <c r="K61" s="37">
        <f t="shared" si="21"/>
        <v>205.30693224080733</v>
      </c>
      <c r="L61" s="37">
        <f t="shared" si="21"/>
        <v>210.33661219932335</v>
      </c>
      <c r="M61" s="37">
        <f t="shared" si="21"/>
        <v>215.47825993210324</v>
      </c>
      <c r="N61" s="37">
        <f t="shared" si="21"/>
        <v>220.74434531949115</v>
      </c>
      <c r="O61" s="37">
        <f t="shared" si="21"/>
        <v>226.08087745329303</v>
      </c>
      <c r="P61" s="37">
        <f t="shared" si="21"/>
        <v>231.51369078330677</v>
      </c>
      <c r="Q61" s="37">
        <f t="shared" si="21"/>
        <v>236.99672501366217</v>
      </c>
      <c r="R61" s="37">
        <f t="shared" si="21"/>
        <v>242.524236758694</v>
      </c>
      <c r="S61" s="37">
        <f t="shared" si="21"/>
        <v>248.12934738861588</v>
      </c>
      <c r="T61" s="37">
        <f t="shared" si="21"/>
        <v>253.7315570424947</v>
      </c>
      <c r="U61" s="37">
        <f t="shared" si="21"/>
        <v>259.33265570875858</v>
      </c>
      <c r="V61" s="37">
        <f t="shared" si="21"/>
        <v>264.89999112322664</v>
      </c>
      <c r="W61" s="37">
        <f t="shared" si="21"/>
        <v>270.3807823188987</v>
      </c>
      <c r="X61" s="37">
        <f t="shared" si="21"/>
        <v>275.75192530554307</v>
      </c>
      <c r="Y61" s="37">
        <f t="shared" si="21"/>
        <v>281.07838801949185</v>
      </c>
      <c r="Z61" s="37">
        <f t="shared" si="21"/>
        <v>286.27855493769482</v>
      </c>
      <c r="AA61" s="37">
        <f t="shared" si="21"/>
        <v>291.34420650552158</v>
      </c>
      <c r="AB61" s="37">
        <f t="shared" si="21"/>
        <v>296.238970016331</v>
      </c>
    </row>
    <row r="62" spans="1:28" x14ac:dyDescent="0.25">
      <c r="A62" s="4" t="s">
        <v>219</v>
      </c>
      <c r="B62" s="37">
        <f t="shared" ref="B62:AB62" si="22">B42*B15*$F$8</f>
        <v>212.43424162961639</v>
      </c>
      <c r="C62" s="37">
        <f t="shared" si="22"/>
        <v>219.57122748331315</v>
      </c>
      <c r="D62" s="37">
        <f t="shared" si="22"/>
        <v>224.58981596158293</v>
      </c>
      <c r="E62" s="37">
        <f t="shared" si="22"/>
        <v>229.95667987993934</v>
      </c>
      <c r="F62" s="37">
        <f t="shared" si="22"/>
        <v>235.74037216804285</v>
      </c>
      <c r="G62" s="37">
        <f t="shared" si="22"/>
        <v>241.93832236571222</v>
      </c>
      <c r="H62" s="37">
        <f t="shared" si="22"/>
        <v>248.56906057135566</v>
      </c>
      <c r="I62" s="37">
        <f t="shared" si="22"/>
        <v>257.99774349910689</v>
      </c>
      <c r="J62" s="37">
        <f t="shared" si="22"/>
        <v>267.85426625157078</v>
      </c>
      <c r="K62" s="37">
        <f t="shared" si="22"/>
        <v>278.09386534546348</v>
      </c>
      <c r="L62" s="37">
        <f t="shared" si="22"/>
        <v>288.79599304716447</v>
      </c>
      <c r="M62" s="37">
        <f t="shared" si="22"/>
        <v>299.91425044001539</v>
      </c>
      <c r="N62" s="37">
        <f t="shared" si="22"/>
        <v>311.41878519814884</v>
      </c>
      <c r="O62" s="37">
        <f t="shared" si="22"/>
        <v>323.2618247061601</v>
      </c>
      <c r="P62" s="37">
        <f t="shared" si="22"/>
        <v>335.41986958614507</v>
      </c>
      <c r="Q62" s="37">
        <f t="shared" si="22"/>
        <v>347.83353750503483</v>
      </c>
      <c r="R62" s="37">
        <f t="shared" si="22"/>
        <v>360.47344000672615</v>
      </c>
      <c r="S62" s="37">
        <f t="shared" si="22"/>
        <v>373.32827768046832</v>
      </c>
      <c r="T62" s="37">
        <f t="shared" si="22"/>
        <v>386.35702576004189</v>
      </c>
      <c r="U62" s="37">
        <f t="shared" si="22"/>
        <v>399.47489520171416</v>
      </c>
      <c r="V62" s="37">
        <f t="shared" si="22"/>
        <v>412.69201938054232</v>
      </c>
      <c r="W62" s="37">
        <f t="shared" si="22"/>
        <v>425.97748296802831</v>
      </c>
      <c r="X62" s="37">
        <f t="shared" si="22"/>
        <v>439.36365517225175</v>
      </c>
      <c r="Y62" s="37">
        <f t="shared" si="22"/>
        <v>452.81815780073828</v>
      </c>
      <c r="Z62" s="37">
        <f t="shared" si="22"/>
        <v>466.35069966102731</v>
      </c>
      <c r="AA62" s="37">
        <f t="shared" si="22"/>
        <v>479.95199124073127</v>
      </c>
      <c r="AB62" s="37">
        <f t="shared" si="22"/>
        <v>493.58250040824873</v>
      </c>
    </row>
    <row r="63" spans="1:28" x14ac:dyDescent="0.25">
      <c r="A63" s="4" t="s">
        <v>220</v>
      </c>
      <c r="B63" s="37">
        <f t="shared" ref="B63:AB63" si="23">B43*B15*$F$9</f>
        <v>410.50740978285177</v>
      </c>
      <c r="C63" s="37">
        <f t="shared" si="23"/>
        <v>423.704828818115</v>
      </c>
      <c r="D63" s="37">
        <f t="shared" si="23"/>
        <v>432.87283314188073</v>
      </c>
      <c r="E63" s="37">
        <f t="shared" si="23"/>
        <v>442.87704310140174</v>
      </c>
      <c r="F63" s="37">
        <f t="shared" si="23"/>
        <v>452.98836674728966</v>
      </c>
      <c r="G63" s="37">
        <f t="shared" si="23"/>
        <v>463.85525073229036</v>
      </c>
      <c r="H63" s="37">
        <f t="shared" si="23"/>
        <v>475.05978737299421</v>
      </c>
      <c r="I63" s="37">
        <f t="shared" si="23"/>
        <v>491.00419008498477</v>
      </c>
      <c r="J63" s="37">
        <f t="shared" si="23"/>
        <v>507.40746272952487</v>
      </c>
      <c r="K63" s="37">
        <f t="shared" si="23"/>
        <v>524.8292295251772</v>
      </c>
      <c r="L63" s="37">
        <f t="shared" si="23"/>
        <v>542.78519394849411</v>
      </c>
      <c r="M63" s="37">
        <f t="shared" si="23"/>
        <v>561.4514417502096</v>
      </c>
      <c r="N63" s="37">
        <f t="shared" si="23"/>
        <v>580.59264308450747</v>
      </c>
      <c r="O63" s="37">
        <f t="shared" si="23"/>
        <v>600.26100769867867</v>
      </c>
      <c r="P63" s="37">
        <f t="shared" si="23"/>
        <v>620.62287990350376</v>
      </c>
      <c r="Q63" s="37">
        <f t="shared" si="23"/>
        <v>641.60809485145114</v>
      </c>
      <c r="R63" s="37">
        <f t="shared" si="23"/>
        <v>663.10232053065488</v>
      </c>
      <c r="S63" s="37">
        <f t="shared" si="23"/>
        <v>685.00042344609301</v>
      </c>
      <c r="T63" s="37">
        <f t="shared" si="23"/>
        <v>707.40620296192219</v>
      </c>
      <c r="U63" s="37">
        <f t="shared" si="23"/>
        <v>730.13796828643103</v>
      </c>
      <c r="V63" s="37">
        <f t="shared" si="23"/>
        <v>752.98289772242902</v>
      </c>
      <c r="W63" s="37">
        <f t="shared" si="23"/>
        <v>776.39880488395443</v>
      </c>
      <c r="X63" s="37">
        <f t="shared" si="23"/>
        <v>800.01500703413467</v>
      </c>
      <c r="Y63" s="37">
        <f t="shared" si="23"/>
        <v>824.05686255487922</v>
      </c>
      <c r="Z63" s="37">
        <f t="shared" si="23"/>
        <v>848.20697355609047</v>
      </c>
      <c r="AA63" s="37">
        <f t="shared" si="23"/>
        <v>872.58398164999494</v>
      </c>
      <c r="AB63" s="37">
        <f t="shared" si="23"/>
        <v>897.31782534729268</v>
      </c>
    </row>
    <row r="64" spans="1:28" x14ac:dyDescent="0.25">
      <c r="A64" s="4" t="s">
        <v>221</v>
      </c>
      <c r="B64" s="37">
        <f t="shared" ref="B64:AB64" si="24">B44*B15*$F$10</f>
        <v>1089.6463812484242</v>
      </c>
      <c r="C64" s="37">
        <f t="shared" si="24"/>
        <v>1139.1488346559493</v>
      </c>
      <c r="D64" s="37">
        <f t="shared" si="24"/>
        <v>1177.7220276795579</v>
      </c>
      <c r="E64" s="37">
        <f t="shared" si="24"/>
        <v>1217.2972661252625</v>
      </c>
      <c r="F64" s="37">
        <f t="shared" si="24"/>
        <v>1257.8948956791255</v>
      </c>
      <c r="G64" s="37">
        <f t="shared" si="24"/>
        <v>1299.6756749231224</v>
      </c>
      <c r="H64" s="37">
        <f t="shared" si="24"/>
        <v>1343.0722328970905</v>
      </c>
      <c r="I64" s="37">
        <f t="shared" si="24"/>
        <v>1400.9224182059111</v>
      </c>
      <c r="J64" s="37">
        <f t="shared" si="24"/>
        <v>1460.8285015282918</v>
      </c>
      <c r="K64" s="37">
        <f t="shared" si="24"/>
        <v>1523.1674602525402</v>
      </c>
      <c r="L64" s="37">
        <f t="shared" si="24"/>
        <v>1588.2489233387694</v>
      </c>
      <c r="M64" s="37">
        <f t="shared" si="24"/>
        <v>1655.7364552806448</v>
      </c>
      <c r="N64" s="37">
        <f t="shared" si="24"/>
        <v>1726.1091066514359</v>
      </c>
      <c r="O64" s="37">
        <f t="shared" si="24"/>
        <v>1799.1342765623717</v>
      </c>
      <c r="P64" s="37">
        <f t="shared" si="24"/>
        <v>1874.7807769137589</v>
      </c>
      <c r="Q64" s="37">
        <f t="shared" si="24"/>
        <v>1953.1787791240367</v>
      </c>
      <c r="R64" s="37">
        <f t="shared" si="24"/>
        <v>2033.9795870433213</v>
      </c>
      <c r="S64" s="37">
        <f t="shared" si="24"/>
        <v>2117.492836613379</v>
      </c>
      <c r="T64" s="37">
        <f t="shared" si="24"/>
        <v>2203.4529843997334</v>
      </c>
      <c r="U64" s="37">
        <f t="shared" si="24"/>
        <v>2291.747525194774</v>
      </c>
      <c r="V64" s="37">
        <f t="shared" si="24"/>
        <v>2382.0992416087133</v>
      </c>
      <c r="W64" s="37">
        <f t="shared" si="24"/>
        <v>2474.1974731909427</v>
      </c>
      <c r="X64" s="37">
        <f t="shared" si="24"/>
        <v>2568.3553250569053</v>
      </c>
      <c r="Y64" s="37">
        <f t="shared" si="24"/>
        <v>2664.0701953372441</v>
      </c>
      <c r="Z64" s="37">
        <f t="shared" si="24"/>
        <v>2761.3082357367084</v>
      </c>
      <c r="AA64" s="37">
        <f t="shared" si="24"/>
        <v>2859.4439737692255</v>
      </c>
      <c r="AB64" s="37">
        <f t="shared" si="24"/>
        <v>2958.3795074490222</v>
      </c>
    </row>
    <row r="65" spans="1:28" x14ac:dyDescent="0.25">
      <c r="A65" s="4" t="s">
        <v>222</v>
      </c>
      <c r="B65" s="37">
        <f t="shared" ref="B65:AB65" si="25">B45*B15*$F$11</f>
        <v>16744.867692973043</v>
      </c>
      <c r="C65" s="37">
        <f t="shared" si="25"/>
        <v>17166.401818407237</v>
      </c>
      <c r="D65" s="37">
        <f t="shared" si="25"/>
        <v>17405.918538918217</v>
      </c>
      <c r="E65" s="37">
        <f t="shared" si="25"/>
        <v>17649.229313379234</v>
      </c>
      <c r="F65" s="37">
        <f t="shared" si="25"/>
        <v>17899.83321320474</v>
      </c>
      <c r="G65" s="37">
        <f t="shared" si="25"/>
        <v>18158.322624403572</v>
      </c>
      <c r="H65" s="37">
        <f t="shared" si="25"/>
        <v>18424.276733911585</v>
      </c>
      <c r="I65" s="37">
        <f t="shared" si="25"/>
        <v>18868.722811305241</v>
      </c>
      <c r="J65" s="37">
        <f t="shared" si="25"/>
        <v>19321.568239272696</v>
      </c>
      <c r="K65" s="37">
        <f t="shared" si="25"/>
        <v>19779.555920187267</v>
      </c>
      <c r="L65" s="37">
        <f t="shared" si="25"/>
        <v>20241.122419193693</v>
      </c>
      <c r="M65" s="37">
        <f t="shared" si="25"/>
        <v>20705.93192705909</v>
      </c>
      <c r="N65" s="37">
        <f t="shared" si="25"/>
        <v>21169.661391151058</v>
      </c>
      <c r="O65" s="37">
        <f t="shared" si="25"/>
        <v>21629.776284195927</v>
      </c>
      <c r="P65" s="37">
        <f t="shared" si="25"/>
        <v>22084.029765793068</v>
      </c>
      <c r="Q65" s="37">
        <f t="shared" si="25"/>
        <v>22528.374408938082</v>
      </c>
      <c r="R65" s="37">
        <f t="shared" si="25"/>
        <v>22960.05411214567</v>
      </c>
      <c r="S65" s="37">
        <f t="shared" si="25"/>
        <v>23379.447380808771</v>
      </c>
      <c r="T65" s="37">
        <f t="shared" si="25"/>
        <v>23781.411733558216</v>
      </c>
      <c r="U65" s="37">
        <f t="shared" si="25"/>
        <v>24165.018774870798</v>
      </c>
      <c r="V65" s="37">
        <f t="shared" si="25"/>
        <v>24523.573992724214</v>
      </c>
      <c r="W65" s="37">
        <f t="shared" si="25"/>
        <v>24854.716358305148</v>
      </c>
      <c r="X65" s="37">
        <f t="shared" si="25"/>
        <v>25157.055984897168</v>
      </c>
      <c r="Y65" s="37">
        <f t="shared" si="25"/>
        <v>25443.225261748088</v>
      </c>
      <c r="Z65" s="37">
        <f t="shared" si="25"/>
        <v>25700.957949317446</v>
      </c>
      <c r="AA65" s="37">
        <f t="shared" si="25"/>
        <v>25928.871732721167</v>
      </c>
      <c r="AB65" s="37">
        <f t="shared" si="25"/>
        <v>26127.791636683254</v>
      </c>
    </row>
    <row r="67" spans="1:28" x14ac:dyDescent="0.25">
      <c r="A67" s="4" t="s">
        <v>328</v>
      </c>
    </row>
    <row r="68" spans="1:28" x14ac:dyDescent="0.25">
      <c r="A68" s="4" t="s">
        <v>329</v>
      </c>
      <c r="B68" s="40">
        <f t="shared" ref="B68:AB68" si="26">B48+B49</f>
        <v>100.76416966610093</v>
      </c>
      <c r="C68" s="40">
        <f t="shared" si="26"/>
        <v>101.07841057908891</v>
      </c>
      <c r="D68" s="40">
        <f t="shared" si="26"/>
        <v>100.31421709617851</v>
      </c>
      <c r="E68" s="40">
        <f t="shared" si="26"/>
        <v>99.557446351042216</v>
      </c>
      <c r="F68" s="40">
        <f t="shared" si="26"/>
        <v>98.790718904191209</v>
      </c>
      <c r="G68" s="40">
        <f t="shared" si="26"/>
        <v>98.02601544502005</v>
      </c>
      <c r="H68" s="40">
        <f t="shared" si="26"/>
        <v>97.258101641673548</v>
      </c>
      <c r="I68" s="40">
        <f t="shared" si="26"/>
        <v>97.385240649441073</v>
      </c>
      <c r="J68" s="40">
        <f t="shared" si="26"/>
        <v>97.483875551867101</v>
      </c>
      <c r="K68" s="40">
        <f t="shared" si="26"/>
        <v>97.545794087554953</v>
      </c>
      <c r="L68" s="40">
        <f t="shared" si="26"/>
        <v>97.575600958072528</v>
      </c>
      <c r="M68" s="40">
        <f t="shared" si="26"/>
        <v>97.568225322450132</v>
      </c>
      <c r="N68" s="40">
        <f t="shared" si="26"/>
        <v>97.535868689293807</v>
      </c>
      <c r="O68" s="40">
        <f t="shared" si="26"/>
        <v>97.450612732757406</v>
      </c>
      <c r="P68" s="40">
        <f t="shared" si="26"/>
        <v>97.314266607611444</v>
      </c>
      <c r="Q68" s="40">
        <f t="shared" si="26"/>
        <v>97.143104662966905</v>
      </c>
      <c r="R68" s="40">
        <f t="shared" si="26"/>
        <v>96.924283556886934</v>
      </c>
      <c r="S68" s="40">
        <f t="shared" si="26"/>
        <v>96.688266539759411</v>
      </c>
      <c r="T68" s="40">
        <f t="shared" si="26"/>
        <v>96.42823387529404</v>
      </c>
      <c r="U68" s="40">
        <f t="shared" si="26"/>
        <v>96.156341761171376</v>
      </c>
      <c r="V68" s="40">
        <f t="shared" si="26"/>
        <v>95.88490844801052</v>
      </c>
      <c r="W68" s="40">
        <f t="shared" si="26"/>
        <v>95.61324901477883</v>
      </c>
      <c r="X68" s="40">
        <f t="shared" si="26"/>
        <v>95.376074317065175</v>
      </c>
      <c r="Y68" s="40">
        <f t="shared" si="26"/>
        <v>95.151591622614177</v>
      </c>
      <c r="Z68" s="40">
        <f t="shared" si="26"/>
        <v>94.94039106276928</v>
      </c>
      <c r="AA68" s="40">
        <f t="shared" si="26"/>
        <v>94.741192851963547</v>
      </c>
      <c r="AB68" s="40">
        <f t="shared" si="26"/>
        <v>94.567551131977609</v>
      </c>
    </row>
    <row r="69" spans="1:28" x14ac:dyDescent="0.25">
      <c r="A69" s="4" t="s">
        <v>330</v>
      </c>
      <c r="B69" s="40">
        <f t="shared" ref="B69:AB69" si="27">B50+B51+B52+B53</f>
        <v>84.916698835298959</v>
      </c>
      <c r="C69" s="40">
        <f t="shared" si="27"/>
        <v>85.327393028836596</v>
      </c>
      <c r="D69" s="40">
        <f t="shared" si="27"/>
        <v>84.823426791172196</v>
      </c>
      <c r="E69" s="40">
        <f t="shared" si="27"/>
        <v>84.328973489240468</v>
      </c>
      <c r="F69" s="40">
        <f t="shared" si="27"/>
        <v>83.831711826934836</v>
      </c>
      <c r="G69" s="40">
        <f t="shared" si="27"/>
        <v>83.333974719007472</v>
      </c>
      <c r="H69" s="40">
        <f t="shared" si="27"/>
        <v>82.842638646161518</v>
      </c>
      <c r="I69" s="40">
        <f t="shared" si="27"/>
        <v>83.107778218648164</v>
      </c>
      <c r="J69" s="40">
        <f t="shared" si="27"/>
        <v>83.341959910347114</v>
      </c>
      <c r="K69" s="40">
        <f t="shared" si="27"/>
        <v>83.527657090631919</v>
      </c>
      <c r="L69" s="40">
        <f t="shared" si="27"/>
        <v>83.675894031195739</v>
      </c>
      <c r="M69" s="40">
        <f t="shared" si="27"/>
        <v>83.764532303721722</v>
      </c>
      <c r="N69" s="40">
        <f t="shared" si="27"/>
        <v>83.823481045281923</v>
      </c>
      <c r="O69" s="40">
        <f t="shared" si="27"/>
        <v>83.804135236338425</v>
      </c>
      <c r="P69" s="40">
        <f t="shared" si="27"/>
        <v>83.732807600151844</v>
      </c>
      <c r="Q69" s="40">
        <f t="shared" si="27"/>
        <v>83.605117133981054</v>
      </c>
      <c r="R69" s="40">
        <f t="shared" si="27"/>
        <v>83.426793592667508</v>
      </c>
      <c r="S69" s="40">
        <f t="shared" si="27"/>
        <v>83.221970301880305</v>
      </c>
      <c r="T69" s="40">
        <f t="shared" si="27"/>
        <v>82.982705716440876</v>
      </c>
      <c r="U69" s="40">
        <f t="shared" si="27"/>
        <v>82.742902907088592</v>
      </c>
      <c r="V69" s="40">
        <f t="shared" si="27"/>
        <v>82.489229384720829</v>
      </c>
      <c r="W69" s="40">
        <f t="shared" si="27"/>
        <v>82.247877376933801</v>
      </c>
      <c r="X69" s="40">
        <f t="shared" si="27"/>
        <v>82.04088769238696</v>
      </c>
      <c r="Y69" s="40">
        <f t="shared" si="27"/>
        <v>81.822309403582182</v>
      </c>
      <c r="Z69" s="40">
        <f t="shared" si="27"/>
        <v>81.633545255072733</v>
      </c>
      <c r="AA69" s="40">
        <f t="shared" si="27"/>
        <v>81.453411546554264</v>
      </c>
      <c r="AB69" s="40">
        <f t="shared" si="27"/>
        <v>81.307250960907055</v>
      </c>
    </row>
    <row r="70" spans="1:28" x14ac:dyDescent="0.25">
      <c r="A70" s="4" t="s">
        <v>331</v>
      </c>
      <c r="B70" s="40">
        <f t="shared" ref="B70:AB70" si="28">B54+B55</f>
        <v>99.517278699363544</v>
      </c>
      <c r="C70" s="40">
        <f t="shared" si="28"/>
        <v>99.746528900656259</v>
      </c>
      <c r="D70" s="40">
        <f t="shared" si="28"/>
        <v>98.906463552338352</v>
      </c>
      <c r="E70" s="40">
        <f t="shared" si="28"/>
        <v>98.07129864191046</v>
      </c>
      <c r="F70" s="40">
        <f t="shared" si="28"/>
        <v>97.218561809176549</v>
      </c>
      <c r="G70" s="40">
        <f t="shared" si="28"/>
        <v>96.375080779137051</v>
      </c>
      <c r="H70" s="40">
        <f t="shared" si="28"/>
        <v>95.52912096446552</v>
      </c>
      <c r="I70" s="40">
        <f t="shared" si="28"/>
        <v>95.56180391134194</v>
      </c>
      <c r="J70" s="40">
        <f t="shared" si="28"/>
        <v>95.567730520596285</v>
      </c>
      <c r="K70" s="40">
        <f t="shared" si="28"/>
        <v>95.536867438559327</v>
      </c>
      <c r="L70" s="40">
        <f t="shared" si="28"/>
        <v>95.477663570229367</v>
      </c>
      <c r="M70" s="40">
        <f t="shared" si="28"/>
        <v>95.383364272234687</v>
      </c>
      <c r="N70" s="40">
        <f t="shared" si="28"/>
        <v>95.267052256022041</v>
      </c>
      <c r="O70" s="40">
        <f t="shared" si="28"/>
        <v>95.101506013595468</v>
      </c>
      <c r="P70" s="40">
        <f t="shared" si="28"/>
        <v>94.892203973028387</v>
      </c>
      <c r="Q70" s="40">
        <f t="shared" si="28"/>
        <v>94.652434503851822</v>
      </c>
      <c r="R70" s="40">
        <f t="shared" si="28"/>
        <v>94.374010177221919</v>
      </c>
      <c r="S70" s="40">
        <f t="shared" si="28"/>
        <v>94.076094095874552</v>
      </c>
      <c r="T70" s="40">
        <f t="shared" si="28"/>
        <v>93.760978379743307</v>
      </c>
      <c r="U70" s="40">
        <f t="shared" si="28"/>
        <v>93.442111505895781</v>
      </c>
      <c r="V70" s="40">
        <f t="shared" si="28"/>
        <v>93.124112428794163</v>
      </c>
      <c r="W70" s="40">
        <f t="shared" si="28"/>
        <v>92.817561364747021</v>
      </c>
      <c r="X70" s="40">
        <f t="shared" si="28"/>
        <v>92.535815554313388</v>
      </c>
      <c r="Y70" s="40">
        <f t="shared" si="28"/>
        <v>92.270779646466139</v>
      </c>
      <c r="Z70" s="40">
        <f t="shared" si="28"/>
        <v>92.0198063246727</v>
      </c>
      <c r="AA70" s="40">
        <f t="shared" si="28"/>
        <v>91.78015316547004</v>
      </c>
      <c r="AB70" s="40">
        <f t="shared" si="28"/>
        <v>91.564362930973473</v>
      </c>
    </row>
    <row r="71" spans="1:28" x14ac:dyDescent="0.25">
      <c r="A71" s="4" t="s">
        <v>332</v>
      </c>
      <c r="B71" s="40">
        <f t="shared" ref="B71:AB71" si="29">B58+B59</f>
        <v>17222.969592782472</v>
      </c>
      <c r="C71" s="40">
        <f t="shared" si="29"/>
        <v>17687.018711735589</v>
      </c>
      <c r="D71" s="40">
        <f t="shared" si="29"/>
        <v>17965.093278189597</v>
      </c>
      <c r="E71" s="40">
        <f t="shared" si="29"/>
        <v>18248.033165422901</v>
      </c>
      <c r="F71" s="40">
        <f t="shared" si="29"/>
        <v>18539.127824344047</v>
      </c>
      <c r="G71" s="40">
        <f t="shared" si="29"/>
        <v>18839.150222497989</v>
      </c>
      <c r="H71" s="40">
        <f t="shared" si="29"/>
        <v>19148.27329869011</v>
      </c>
      <c r="I71" s="40">
        <f t="shared" si="29"/>
        <v>19644.754104448875</v>
      </c>
      <c r="J71" s="40">
        <f t="shared" si="29"/>
        <v>20151.800480489706</v>
      </c>
      <c r="K71" s="40">
        <f t="shared" si="29"/>
        <v>20666.898327251878</v>
      </c>
      <c r="L71" s="40">
        <f t="shared" si="29"/>
        <v>21188.988645170211</v>
      </c>
      <c r="M71" s="40">
        <f t="shared" si="29"/>
        <v>21717.300303381868</v>
      </c>
      <c r="N71" s="40">
        <f t="shared" si="29"/>
        <v>22248.440387288785</v>
      </c>
      <c r="O71" s="40">
        <f t="shared" si="29"/>
        <v>22779.734254496958</v>
      </c>
      <c r="P71" s="40">
        <f t="shared" si="29"/>
        <v>23309.012180070167</v>
      </c>
      <c r="Q71" s="40">
        <f t="shared" si="29"/>
        <v>23832.691316812696</v>
      </c>
      <c r="R71" s="40">
        <f t="shared" si="29"/>
        <v>24347.691859834304</v>
      </c>
      <c r="S71" s="40">
        <f t="shared" si="29"/>
        <v>24854.825336109232</v>
      </c>
      <c r="T71" s="40">
        <f t="shared" si="29"/>
        <v>25348.901008721681</v>
      </c>
      <c r="U71" s="40">
        <f t="shared" si="29"/>
        <v>25828.92036849929</v>
      </c>
      <c r="V71" s="40">
        <f t="shared" si="29"/>
        <v>26288.213974904575</v>
      </c>
      <c r="W71" s="40">
        <f t="shared" si="29"/>
        <v>26724.191225574723</v>
      </c>
      <c r="X71" s="40">
        <f t="shared" si="29"/>
        <v>27135.954274177962</v>
      </c>
      <c r="Y71" s="40">
        <f t="shared" si="29"/>
        <v>27534.673123783756</v>
      </c>
      <c r="Z71" s="40">
        <f t="shared" si="29"/>
        <v>27908.794458133176</v>
      </c>
      <c r="AA71" s="40">
        <f t="shared" si="29"/>
        <v>28256.212379516808</v>
      </c>
      <c r="AB71" s="40">
        <f t="shared" si="29"/>
        <v>28577.586290479638</v>
      </c>
    </row>
    <row r="72" spans="1:28" x14ac:dyDescent="0.25">
      <c r="A72" s="4" t="s">
        <v>333</v>
      </c>
      <c r="B72" s="40">
        <f t="shared" ref="B72:AB72" si="30">B60+B61+B62+B63</f>
        <v>17884.850320529586</v>
      </c>
      <c r="C72" s="40">
        <f t="shared" si="30"/>
        <v>18366.072976584514</v>
      </c>
      <c r="D72" s="40">
        <f t="shared" si="30"/>
        <v>18653.339563913658</v>
      </c>
      <c r="E72" s="40">
        <f t="shared" si="30"/>
        <v>18945.025527150992</v>
      </c>
      <c r="F72" s="40">
        <f t="shared" si="30"/>
        <v>19244.257786609305</v>
      </c>
      <c r="G72" s="40">
        <f t="shared" si="30"/>
        <v>19551.79333797819</v>
      </c>
      <c r="H72" s="40">
        <f t="shared" si="30"/>
        <v>19867.946229567682</v>
      </c>
      <c r="I72" s="40">
        <f t="shared" si="30"/>
        <v>20377.216979381014</v>
      </c>
      <c r="J72" s="40">
        <f t="shared" si="30"/>
        <v>20896.334903283947</v>
      </c>
      <c r="K72" s="40">
        <f t="shared" si="30"/>
        <v>21422.361637542501</v>
      </c>
      <c r="L72" s="40">
        <f t="shared" si="30"/>
        <v>21953.81559382179</v>
      </c>
      <c r="M72" s="40">
        <f t="shared" si="30"/>
        <v>22489.981689026554</v>
      </c>
      <c r="N72" s="40">
        <f t="shared" si="30"/>
        <v>23026.646760486416</v>
      </c>
      <c r="O72" s="40">
        <f t="shared" si="30"/>
        <v>23561.412164087709</v>
      </c>
      <c r="P72" s="40">
        <f t="shared" si="30"/>
        <v>24091.315711712425</v>
      </c>
      <c r="Q72" s="40">
        <f t="shared" si="30"/>
        <v>24612.77139545403</v>
      </c>
      <c r="R72" s="40">
        <f t="shared" si="30"/>
        <v>25122.21936945225</v>
      </c>
      <c r="S72" s="40">
        <f t="shared" si="30"/>
        <v>25620.199112182989</v>
      </c>
      <c r="T72" s="40">
        <f t="shared" si="30"/>
        <v>26101.599453504612</v>
      </c>
      <c r="U72" s="40">
        <f t="shared" si="30"/>
        <v>26565.441927213848</v>
      </c>
      <c r="V72" s="40">
        <f t="shared" si="30"/>
        <v>27004.026860081241</v>
      </c>
      <c r="W72" s="40">
        <f t="shared" si="30"/>
        <v>27414.877465708716</v>
      </c>
      <c r="X72" s="40">
        <f t="shared" si="30"/>
        <v>27797.212298773506</v>
      </c>
      <c r="Y72" s="40">
        <f t="shared" si="30"/>
        <v>28163.872185072967</v>
      </c>
      <c r="Z72" s="40">
        <f t="shared" si="30"/>
        <v>28501.866073449019</v>
      </c>
      <c r="AA72" s="40">
        <f t="shared" si="30"/>
        <v>28808.679923332089</v>
      </c>
      <c r="AB72" s="40">
        <f t="shared" si="30"/>
        <v>29085.717276877844</v>
      </c>
    </row>
    <row r="73" spans="1:28" x14ac:dyDescent="0.25">
      <c r="A73" s="4" t="s">
        <v>334</v>
      </c>
      <c r="B73" s="40">
        <f t="shared" ref="B73:AB73" si="31">B64+B65</f>
        <v>17834.514074221468</v>
      </c>
      <c r="C73" s="40">
        <f t="shared" si="31"/>
        <v>18305.550653063186</v>
      </c>
      <c r="D73" s="40">
        <f t="shared" si="31"/>
        <v>18583.640566597773</v>
      </c>
      <c r="E73" s="40">
        <f t="shared" si="31"/>
        <v>18866.526579504498</v>
      </c>
      <c r="F73" s="40">
        <f t="shared" si="31"/>
        <v>19157.728108883864</v>
      </c>
      <c r="G73" s="40">
        <f t="shared" si="31"/>
        <v>19457.998299326693</v>
      </c>
      <c r="H73" s="40">
        <f t="shared" si="31"/>
        <v>19767.348966808677</v>
      </c>
      <c r="I73" s="40">
        <f t="shared" si="31"/>
        <v>20269.645229511152</v>
      </c>
      <c r="J73" s="40">
        <f t="shared" si="31"/>
        <v>20782.396740800988</v>
      </c>
      <c r="K73" s="40">
        <f t="shared" si="31"/>
        <v>21302.723380439809</v>
      </c>
      <c r="L73" s="40">
        <f t="shared" si="31"/>
        <v>21829.37134253246</v>
      </c>
      <c r="M73" s="40">
        <f t="shared" si="31"/>
        <v>22361.668382339732</v>
      </c>
      <c r="N73" s="40">
        <f t="shared" si="31"/>
        <v>22895.770497802492</v>
      </c>
      <c r="O73" s="40">
        <f t="shared" si="31"/>
        <v>23428.910560758297</v>
      </c>
      <c r="P73" s="40">
        <f t="shared" si="31"/>
        <v>23958.810542706826</v>
      </c>
      <c r="Q73" s="40">
        <f t="shared" si="31"/>
        <v>24481.55318806212</v>
      </c>
      <c r="R73" s="40">
        <f t="shared" si="31"/>
        <v>24994.033699188993</v>
      </c>
      <c r="S73" s="40">
        <f t="shared" si="31"/>
        <v>25496.94021742215</v>
      </c>
      <c r="T73" s="40">
        <f t="shared" si="31"/>
        <v>25984.864717957949</v>
      </c>
      <c r="U73" s="40">
        <f t="shared" si="31"/>
        <v>26456.76630006557</v>
      </c>
      <c r="V73" s="40">
        <f t="shared" si="31"/>
        <v>26905.673234332928</v>
      </c>
      <c r="W73" s="40">
        <f t="shared" si="31"/>
        <v>27328.913831496091</v>
      </c>
      <c r="X73" s="40">
        <f t="shared" si="31"/>
        <v>27725.411309954074</v>
      </c>
      <c r="Y73" s="40">
        <f t="shared" si="31"/>
        <v>28107.295457085333</v>
      </c>
      <c r="Z73" s="40">
        <f t="shared" si="31"/>
        <v>28462.266185054155</v>
      </c>
      <c r="AA73" s="40">
        <f t="shared" si="31"/>
        <v>28788.315706490393</v>
      </c>
      <c r="AB73" s="40">
        <f t="shared" si="31"/>
        <v>29086.171144132277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56.795517382743974</v>
      </c>
      <c r="C2" s="37">
        <f>BDbDT_calcs!C48</f>
        <v>56.920568829511645</v>
      </c>
      <c r="D2" s="37">
        <f>BDbDT_calcs!D48</f>
        <v>56.435191784471769</v>
      </c>
      <c r="E2" s="37">
        <f>BDbDT_calcs!E48</f>
        <v>55.957399019812684</v>
      </c>
      <c r="F2" s="37">
        <f>BDbDT_calcs!F48</f>
        <v>55.475387523659464</v>
      </c>
      <c r="G2" s="37">
        <f>BDbDT_calcs!G48</f>
        <v>54.989233791121684</v>
      </c>
      <c r="H2" s="37">
        <f>BDbDT_calcs!H48</f>
        <v>54.499294342033863</v>
      </c>
      <c r="I2" s="37">
        <f>BDbDT_calcs!I48</f>
        <v>54.535148938347056</v>
      </c>
      <c r="J2" s="37">
        <f>BDbDT_calcs!J48</f>
        <v>54.525240587975027</v>
      </c>
      <c r="K2" s="37">
        <f>BDbDT_calcs!K48</f>
        <v>54.516702221233373</v>
      </c>
      <c r="L2" s="37">
        <f>BDbDT_calcs!L48</f>
        <v>54.465908766758936</v>
      </c>
      <c r="M2" s="37">
        <f>BDbDT_calcs!M48</f>
        <v>54.416611345378939</v>
      </c>
      <c r="N2" s="37">
        <f>BDbDT_calcs!N48</f>
        <v>54.375603016376026</v>
      </c>
      <c r="O2" s="37">
        <f>BDbDT_calcs!O48</f>
        <v>54.252763275747199</v>
      </c>
      <c r="P2" s="37">
        <f>BDbDT_calcs!P48</f>
        <v>54.144109016336941</v>
      </c>
      <c r="Q2" s="37">
        <f>BDbDT_calcs!Q48</f>
        <v>53.990792708582291</v>
      </c>
      <c r="R2" s="37">
        <f>BDbDT_calcs!R48</f>
        <v>53.824912023870887</v>
      </c>
      <c r="S2" s="37">
        <f>BDbDT_calcs!S48</f>
        <v>53.639684864463582</v>
      </c>
      <c r="T2" s="37">
        <f>BDbDT_calcs!T48</f>
        <v>53.447413319859095</v>
      </c>
      <c r="U2" s="37">
        <f>BDbDT_calcs!U48</f>
        <v>53.247654209459597</v>
      </c>
      <c r="V2" s="37">
        <f>BDbDT_calcs!V48</f>
        <v>53.039780718104822</v>
      </c>
      <c r="W2" s="37">
        <f>BDbDT_calcs!W48</f>
        <v>52.830054493133026</v>
      </c>
      <c r="X2" s="37">
        <f>BDbDT_calcs!X48</f>
        <v>52.667242943114616</v>
      </c>
      <c r="Y2" s="37">
        <f>BDbDT_calcs!Y48</f>
        <v>52.495587533354012</v>
      </c>
      <c r="Z2" s="37">
        <f>BDbDT_calcs!Z48</f>
        <v>52.350287314811311</v>
      </c>
      <c r="AA2" s="37">
        <f>BDbDT_calcs!AA48</f>
        <v>52.202676588427842</v>
      </c>
      <c r="AB2" s="37">
        <f>BDbDT_calcs!AB48</f>
        <v>52.044968671241676</v>
      </c>
    </row>
    <row r="3" spans="1:28" x14ac:dyDescent="0.25">
      <c r="A3" s="4" t="s">
        <v>216</v>
      </c>
      <c r="B3" s="37">
        <f>BDbDT_calcs!B49</f>
        <v>43.968652283356953</v>
      </c>
      <c r="C3" s="37">
        <f>BDbDT_calcs!C49</f>
        <v>44.157841749577258</v>
      </c>
      <c r="D3" s="37">
        <f>BDbDT_calcs!D49</f>
        <v>43.879025311706748</v>
      </c>
      <c r="E3" s="37">
        <f>BDbDT_calcs!E49</f>
        <v>43.600047331229533</v>
      </c>
      <c r="F3" s="37">
        <f>BDbDT_calcs!F49</f>
        <v>43.315331380531752</v>
      </c>
      <c r="G3" s="37">
        <f>BDbDT_calcs!G49</f>
        <v>43.036781653898366</v>
      </c>
      <c r="H3" s="37">
        <f>BDbDT_calcs!H49</f>
        <v>42.758807299639685</v>
      </c>
      <c r="I3" s="37">
        <f>BDbDT_calcs!I49</f>
        <v>42.850091711094009</v>
      </c>
      <c r="J3" s="37">
        <f>BDbDT_calcs!J49</f>
        <v>42.958634963892067</v>
      </c>
      <c r="K3" s="37">
        <f>BDbDT_calcs!K49</f>
        <v>43.029091866321579</v>
      </c>
      <c r="L3" s="37">
        <f>BDbDT_calcs!L49</f>
        <v>43.109692191313584</v>
      </c>
      <c r="M3" s="37">
        <f>BDbDT_calcs!M49</f>
        <v>43.151613977071193</v>
      </c>
      <c r="N3" s="37">
        <f>BDbDT_calcs!N49</f>
        <v>43.160265672917788</v>
      </c>
      <c r="O3" s="37">
        <f>BDbDT_calcs!O49</f>
        <v>43.1978494570102</v>
      </c>
      <c r="P3" s="37">
        <f>BDbDT_calcs!P49</f>
        <v>43.170157591274496</v>
      </c>
      <c r="Q3" s="37">
        <f>BDbDT_calcs!Q49</f>
        <v>43.152311954384615</v>
      </c>
      <c r="R3" s="37">
        <f>BDbDT_calcs!R49</f>
        <v>43.09937153301604</v>
      </c>
      <c r="S3" s="37">
        <f>BDbDT_calcs!S49</f>
        <v>43.048581675295821</v>
      </c>
      <c r="T3" s="37">
        <f>BDbDT_calcs!T49</f>
        <v>42.980820555434939</v>
      </c>
      <c r="U3" s="37">
        <f>BDbDT_calcs!U49</f>
        <v>42.908687551711772</v>
      </c>
      <c r="V3" s="37">
        <f>BDbDT_calcs!V49</f>
        <v>42.845127729905691</v>
      </c>
      <c r="W3" s="37">
        <f>BDbDT_calcs!W49</f>
        <v>42.783194521645811</v>
      </c>
      <c r="X3" s="37">
        <f>BDbDT_calcs!X49</f>
        <v>42.708831373950559</v>
      </c>
      <c r="Y3" s="37">
        <f>BDbDT_calcs!Y49</f>
        <v>42.656004089260172</v>
      </c>
      <c r="Z3" s="37">
        <f>BDbDT_calcs!Z49</f>
        <v>42.590103747957968</v>
      </c>
      <c r="AA3" s="37">
        <f>BDbDT_calcs!AA49</f>
        <v>42.538516263535698</v>
      </c>
      <c r="AB3" s="37">
        <f>BDbDT_calcs!AB49</f>
        <v>42.522582460735933</v>
      </c>
    </row>
    <row r="4" spans="1:28" x14ac:dyDescent="0.25">
      <c r="A4" s="4" t="s">
        <v>217</v>
      </c>
      <c r="B4" s="37">
        <f>BDbDT_calcs!B50</f>
        <v>71.861133408736421</v>
      </c>
      <c r="C4" s="37">
        <f>BDbDT_calcs!C50</f>
        <v>72.088347792578119</v>
      </c>
      <c r="D4" s="37">
        <f>BDbDT_calcs!D50</f>
        <v>71.558156840342008</v>
      </c>
      <c r="E4" s="37">
        <f>BDbDT_calcs!E50</f>
        <v>71.022752388003482</v>
      </c>
      <c r="F4" s="37">
        <f>BDbDT_calcs!F50</f>
        <v>70.489994753256042</v>
      </c>
      <c r="G4" s="37">
        <f>BDbDT_calcs!G50</f>
        <v>69.967341728394956</v>
      </c>
      <c r="H4" s="37">
        <f>BDbDT_calcs!H50</f>
        <v>69.425905259856194</v>
      </c>
      <c r="I4" s="37">
        <f>BDbDT_calcs!I50</f>
        <v>69.538970102462685</v>
      </c>
      <c r="J4" s="37">
        <f>BDbDT_calcs!J50</f>
        <v>69.612776262453593</v>
      </c>
      <c r="K4" s="37">
        <f>BDbDT_calcs!K50</f>
        <v>69.651771348624962</v>
      </c>
      <c r="L4" s="37">
        <f>BDbDT_calcs!L50</f>
        <v>69.647943498304429</v>
      </c>
      <c r="M4" s="37">
        <f>BDbDT_calcs!M50</f>
        <v>69.600611344291707</v>
      </c>
      <c r="N4" s="37">
        <f>BDbDT_calcs!N50</f>
        <v>69.508995397377674</v>
      </c>
      <c r="O4" s="37">
        <f>BDbDT_calcs!O50</f>
        <v>69.348815858284695</v>
      </c>
      <c r="P4" s="37">
        <f>BDbDT_calcs!P50</f>
        <v>69.150067717703493</v>
      </c>
      <c r="Q4" s="37">
        <f>BDbDT_calcs!Q50</f>
        <v>68.903877693654294</v>
      </c>
      <c r="R4" s="37">
        <f>BDbDT_calcs!R50</f>
        <v>68.609003787151551</v>
      </c>
      <c r="S4" s="37">
        <f>BDbDT_calcs!S50</f>
        <v>68.289250362355119</v>
      </c>
      <c r="T4" s="37">
        <f>BDbDT_calcs!T50</f>
        <v>67.958938132154259</v>
      </c>
      <c r="U4" s="37">
        <f>BDbDT_calcs!U50</f>
        <v>67.617475378447111</v>
      </c>
      <c r="V4" s="37">
        <f>BDbDT_calcs!V50</f>
        <v>67.272388495586654</v>
      </c>
      <c r="W4" s="37">
        <f>BDbDT_calcs!W50</f>
        <v>66.939838057438209</v>
      </c>
      <c r="X4" s="37">
        <f>BDbDT_calcs!X50</f>
        <v>66.628093992800743</v>
      </c>
      <c r="Y4" s="37">
        <f>BDbDT_calcs!Y50</f>
        <v>66.320332021026431</v>
      </c>
      <c r="Z4" s="37">
        <f>BDbDT_calcs!Z50</f>
        <v>66.024817301228779</v>
      </c>
      <c r="AA4" s="37">
        <f>BDbDT_calcs!AA50</f>
        <v>65.758887985557976</v>
      </c>
      <c r="AB4" s="37">
        <f>BDbDT_calcs!AB50</f>
        <v>65.505234992340462</v>
      </c>
    </row>
    <row r="5" spans="1:28" x14ac:dyDescent="0.25">
      <c r="A5" s="4" t="s">
        <v>218</v>
      </c>
      <c r="B5" s="37">
        <f>BDbDT_calcs!B51</f>
        <v>2.244468227541971</v>
      </c>
      <c r="C5" s="37">
        <f>BDbDT_calcs!C51</f>
        <v>2.2359856828218452</v>
      </c>
      <c r="D5" s="37">
        <f>BDbDT_calcs!D51</f>
        <v>2.2041268660736613</v>
      </c>
      <c r="E5" s="37">
        <f>BDbDT_calcs!E51</f>
        <v>2.1716164372428093</v>
      </c>
      <c r="F5" s="37">
        <f>BDbDT_calcs!F51</f>
        <v>2.1384651344478902</v>
      </c>
      <c r="G5" s="37">
        <f>BDbDT_calcs!G51</f>
        <v>2.1056374813057439</v>
      </c>
      <c r="H5" s="37">
        <f>BDbDT_calcs!H51</f>
        <v>2.0716911648933998</v>
      </c>
      <c r="I5" s="37">
        <f>BDbDT_calcs!I51</f>
        <v>2.0573852407108606</v>
      </c>
      <c r="J5" s="37">
        <f>BDbDT_calcs!J51</f>
        <v>2.0427004844884444</v>
      </c>
      <c r="K5" s="37">
        <f>BDbDT_calcs!K51</f>
        <v>2.0275707828857881</v>
      </c>
      <c r="L5" s="37">
        <f>BDbDT_calcs!L51</f>
        <v>2.0130062877334987</v>
      </c>
      <c r="M5" s="37">
        <f>BDbDT_calcs!M51</f>
        <v>1.9995460354324055</v>
      </c>
      <c r="N5" s="37">
        <f>BDbDT_calcs!N51</f>
        <v>1.985704724908091</v>
      </c>
      <c r="O5" s="37">
        <f>BDbDT_calcs!O51</f>
        <v>1.9730305321003774</v>
      </c>
      <c r="P5" s="37">
        <f>BDbDT_calcs!P51</f>
        <v>1.9600076347894553</v>
      </c>
      <c r="Q5" s="37">
        <f>BDbDT_calcs!Q51</f>
        <v>1.9476812229921807</v>
      </c>
      <c r="R5" s="37">
        <f>BDbDT_calcs!R51</f>
        <v>1.9355447758548652</v>
      </c>
      <c r="S5" s="37">
        <f>BDbDT_calcs!S51</f>
        <v>1.923321793817955</v>
      </c>
      <c r="T5" s="37">
        <f>BDbDT_calcs!T51</f>
        <v>1.911279766024705</v>
      </c>
      <c r="U5" s="37">
        <f>BDbDT_calcs!U51</f>
        <v>1.8988718752551099</v>
      </c>
      <c r="V5" s="37">
        <f>BDbDT_calcs!V51</f>
        <v>1.8871732427652457</v>
      </c>
      <c r="W5" s="37">
        <f>BDbDT_calcs!W51</f>
        <v>1.8745238136827043</v>
      </c>
      <c r="X5" s="37">
        <f>BDbDT_calcs!X51</f>
        <v>1.862560576194495</v>
      </c>
      <c r="Y5" s="37">
        <f>BDbDT_calcs!Y51</f>
        <v>1.8518626952832364</v>
      </c>
      <c r="Z5" s="37">
        <f>BDbDT_calcs!Z51</f>
        <v>1.8407407696918066</v>
      </c>
      <c r="AA5" s="37">
        <f>BDbDT_calcs!AA51</f>
        <v>1.8303214274903432</v>
      </c>
      <c r="AB5" s="37">
        <f>BDbDT_calcs!AB51</f>
        <v>1.8194497393177584</v>
      </c>
    </row>
    <row r="6" spans="1:28" x14ac:dyDescent="0.25">
      <c r="A6" s="4" t="s">
        <v>219</v>
      </c>
      <c r="B6" s="37">
        <f>BDbDT_calcs!B52</f>
        <v>1.5010371680885961</v>
      </c>
      <c r="C6" s="37">
        <f>BDbDT_calcs!C52</f>
        <v>1.5210591599363588</v>
      </c>
      <c r="D6" s="37">
        <f>BDbDT_calcs!D52</f>
        <v>1.5250816149899935</v>
      </c>
      <c r="E6" s="37">
        <f>BDbDT_calcs!E52</f>
        <v>1.5310406446627618</v>
      </c>
      <c r="F6" s="37">
        <f>BDbDT_calcs!F52</f>
        <v>1.5371927865907344</v>
      </c>
      <c r="G6" s="37">
        <f>BDbDT_calcs!G52</f>
        <v>1.5435473911237156</v>
      </c>
      <c r="H6" s="37">
        <f>BDbDT_calcs!H52</f>
        <v>1.5501223964779831</v>
      </c>
      <c r="I6" s="37">
        <f>BDbDT_calcs!I52</f>
        <v>1.571309872243752</v>
      </c>
      <c r="J6" s="37">
        <f>BDbDT_calcs!J52</f>
        <v>1.5927957982737766</v>
      </c>
      <c r="K6" s="37">
        <f>BDbDT_calcs!K52</f>
        <v>1.6181462993479465</v>
      </c>
      <c r="L6" s="37">
        <f>BDbDT_calcs!L52</f>
        <v>1.6401933254886456</v>
      </c>
      <c r="M6" s="37">
        <f>BDbDT_calcs!M52</f>
        <v>1.6625263945522999</v>
      </c>
      <c r="N6" s="37">
        <f>BDbDT_calcs!N52</f>
        <v>1.6851585612029556</v>
      </c>
      <c r="O6" s="37">
        <f>BDbDT_calcs!O52</f>
        <v>1.7081033061325459</v>
      </c>
      <c r="P6" s="37">
        <f>BDbDT_calcs!P52</f>
        <v>1.7294842164744857</v>
      </c>
      <c r="Q6" s="37">
        <f>BDbDT_calcs!Q52</f>
        <v>1.7530683764449193</v>
      </c>
      <c r="R6" s="37">
        <f>BDbDT_calcs!R52</f>
        <v>1.7731449254754961</v>
      </c>
      <c r="S6" s="37">
        <f>BDbDT_calcs!S52</f>
        <v>1.7956687926620971</v>
      </c>
      <c r="T6" s="37">
        <f>BDbDT_calcs!T52</f>
        <v>1.8204607223049012</v>
      </c>
      <c r="U6" s="37">
        <f>BDbDT_calcs!U52</f>
        <v>1.841636513883889</v>
      </c>
      <c r="V6" s="37">
        <f>BDbDT_calcs!V52</f>
        <v>1.8650625685336912</v>
      </c>
      <c r="W6" s="37">
        <f>BDbDT_calcs!W52</f>
        <v>1.8887627602214725</v>
      </c>
      <c r="X6" s="37">
        <f>BDbDT_calcs!X52</f>
        <v>1.910683723007838</v>
      </c>
      <c r="Y6" s="37">
        <f>BDbDT_calcs!Y52</f>
        <v>1.9369197748590257</v>
      </c>
      <c r="Z6" s="37">
        <f>BDbDT_calcs!Z52</f>
        <v>1.9592737825362923</v>
      </c>
      <c r="AA6" s="37">
        <f>BDbDT_calcs!AA52</f>
        <v>1.9817939597766356</v>
      </c>
      <c r="AB6" s="37">
        <f>BDbDT_calcs!AB52</f>
        <v>2.0044581267328017</v>
      </c>
    </row>
    <row r="7" spans="1:28" x14ac:dyDescent="0.25">
      <c r="A7" s="4" t="s">
        <v>220</v>
      </c>
      <c r="B7" s="37">
        <f>BDbDT_calcs!B53</f>
        <v>9.3100600309319628</v>
      </c>
      <c r="C7" s="37">
        <f>BDbDT_calcs!C53</f>
        <v>9.4820003935002717</v>
      </c>
      <c r="D7" s="37">
        <f>BDbDT_calcs!D53</f>
        <v>9.5360614697665245</v>
      </c>
      <c r="E7" s="37">
        <f>BDbDT_calcs!E53</f>
        <v>9.6035640193314098</v>
      </c>
      <c r="F7" s="37">
        <f>BDbDT_calcs!F53</f>
        <v>9.6660591526401678</v>
      </c>
      <c r="G7" s="37">
        <f>BDbDT_calcs!G53</f>
        <v>9.7174481181830537</v>
      </c>
      <c r="H7" s="37">
        <f>BDbDT_calcs!H53</f>
        <v>9.7949198249339435</v>
      </c>
      <c r="I7" s="37">
        <f>BDbDT_calcs!I53</f>
        <v>9.9401130032308718</v>
      </c>
      <c r="J7" s="37">
        <f>BDbDT_calcs!J53</f>
        <v>10.093687365131284</v>
      </c>
      <c r="K7" s="37">
        <f>BDbDT_calcs!K53</f>
        <v>10.230168659773224</v>
      </c>
      <c r="L7" s="37">
        <f>BDbDT_calcs!L53</f>
        <v>10.374750919669172</v>
      </c>
      <c r="M7" s="37">
        <f>BDbDT_calcs!M53</f>
        <v>10.501848529445308</v>
      </c>
      <c r="N7" s="37">
        <f>BDbDT_calcs!N53</f>
        <v>10.643622361793202</v>
      </c>
      <c r="O7" s="37">
        <f>BDbDT_calcs!O53</f>
        <v>10.774185539820806</v>
      </c>
      <c r="P7" s="37">
        <f>BDbDT_calcs!P53</f>
        <v>10.893248031184408</v>
      </c>
      <c r="Q7" s="37">
        <f>BDbDT_calcs!Q53</f>
        <v>11.000489840889662</v>
      </c>
      <c r="R7" s="37">
        <f>BDbDT_calcs!R53</f>
        <v>11.109100104185606</v>
      </c>
      <c r="S7" s="37">
        <f>BDbDT_calcs!S53</f>
        <v>11.213729353045121</v>
      </c>
      <c r="T7" s="37">
        <f>BDbDT_calcs!T53</f>
        <v>11.29202709595701</v>
      </c>
      <c r="U7" s="37">
        <f>BDbDT_calcs!U53</f>
        <v>11.38491913950249</v>
      </c>
      <c r="V7" s="37">
        <f>BDbDT_calcs!V53</f>
        <v>11.464605077835246</v>
      </c>
      <c r="W7" s="37">
        <f>BDbDT_calcs!W53</f>
        <v>11.544752745591429</v>
      </c>
      <c r="X7" s="37">
        <f>BDbDT_calcs!X53</f>
        <v>11.639549400383888</v>
      </c>
      <c r="Y7" s="37">
        <f>BDbDT_calcs!Y53</f>
        <v>11.713194912413492</v>
      </c>
      <c r="Z7" s="37">
        <f>BDbDT_calcs!Z53</f>
        <v>11.808713401615867</v>
      </c>
      <c r="AA7" s="37">
        <f>BDbDT_calcs!AA53</f>
        <v>11.882408173729303</v>
      </c>
      <c r="AB7" s="37">
        <f>BDbDT_calcs!AB53</f>
        <v>11.97810810251603</v>
      </c>
    </row>
    <row r="8" spans="1:28" x14ac:dyDescent="0.25">
      <c r="A8" s="4" t="s">
        <v>221</v>
      </c>
      <c r="B8" s="37">
        <f>BDbDT_calcs!B54</f>
        <v>16.735302292675424</v>
      </c>
      <c r="C8" s="37">
        <f>BDbDT_calcs!C54</f>
        <v>16.970043742272367</v>
      </c>
      <c r="D8" s="37">
        <f>BDbDT_calcs!D54</f>
        <v>17.035177166068628</v>
      </c>
      <c r="E8" s="37">
        <f>BDbDT_calcs!E54</f>
        <v>17.106669773765482</v>
      </c>
      <c r="F8" s="37">
        <f>BDbDT_calcs!F54</f>
        <v>17.193485532164004</v>
      </c>
      <c r="G8" s="37">
        <f>BDbDT_calcs!G54</f>
        <v>17.264993061306541</v>
      </c>
      <c r="H8" s="37">
        <f>BDbDT_calcs!H54</f>
        <v>17.334578131446079</v>
      </c>
      <c r="I8" s="37">
        <f>BDbDT_calcs!I54</f>
        <v>17.563108299590585</v>
      </c>
      <c r="J8" s="37">
        <f>BDbDT_calcs!J54</f>
        <v>17.785887235100223</v>
      </c>
      <c r="K8" s="37">
        <f>BDbDT_calcs!K54</f>
        <v>18.002201193401742</v>
      </c>
      <c r="L8" s="37">
        <f>BDbDT_calcs!L54</f>
        <v>18.207415084594452</v>
      </c>
      <c r="M8" s="37">
        <f>BDbDT_calcs!M54</f>
        <v>18.401305780507339</v>
      </c>
      <c r="N8" s="37">
        <f>BDbDT_calcs!N54</f>
        <v>18.583628261005511</v>
      </c>
      <c r="O8" s="37">
        <f>BDbDT_calcs!O54</f>
        <v>18.754132383433056</v>
      </c>
      <c r="P8" s="37">
        <f>BDbDT_calcs!P54</f>
        <v>18.898381389647867</v>
      </c>
      <c r="Q8" s="37">
        <f>BDbDT_calcs!Q54</f>
        <v>19.029942120407405</v>
      </c>
      <c r="R8" s="37">
        <f>BDbDT_calcs!R54</f>
        <v>19.134029958433182</v>
      </c>
      <c r="S8" s="37">
        <f>BDbDT_calcs!S54</f>
        <v>19.241466621778937</v>
      </c>
      <c r="T8" s="37">
        <f>BDbDT_calcs!T54</f>
        <v>19.330081501739741</v>
      </c>
      <c r="U8" s="37">
        <f>BDbDT_calcs!U54</f>
        <v>19.399216700241805</v>
      </c>
      <c r="V8" s="37">
        <f>BDbDT_calcs!V54</f>
        <v>19.468094228678677</v>
      </c>
      <c r="W8" s="37">
        <f>BDbDT_calcs!W54</f>
        <v>19.511303168146295</v>
      </c>
      <c r="X8" s="37">
        <f>BDbDT_calcs!X54</f>
        <v>19.578747285334575</v>
      </c>
      <c r="Y8" s="37">
        <f>BDbDT_calcs!Y54</f>
        <v>19.640198174780377</v>
      </c>
      <c r="Z8" s="37">
        <f>BDbDT_calcs!Z54</f>
        <v>19.700461079948369</v>
      </c>
      <c r="AA8" s="37">
        <f>BDbDT_calcs!AA54</f>
        <v>19.764524612511689</v>
      </c>
      <c r="AB8" s="37">
        <f>BDbDT_calcs!AB54</f>
        <v>19.83757177778072</v>
      </c>
    </row>
    <row r="9" spans="1:28" x14ac:dyDescent="0.25">
      <c r="A9" s="4" t="s">
        <v>222</v>
      </c>
      <c r="B9" s="37">
        <f>BDbDT_calcs!B55</f>
        <v>82.781976406688116</v>
      </c>
      <c r="C9" s="37">
        <f>BDbDT_calcs!C55</f>
        <v>82.776485158383892</v>
      </c>
      <c r="D9" s="37">
        <f>BDbDT_calcs!D55</f>
        <v>81.87128638626973</v>
      </c>
      <c r="E9" s="37">
        <f>BDbDT_calcs!E55</f>
        <v>80.96462886814497</v>
      </c>
      <c r="F9" s="37">
        <f>BDbDT_calcs!F55</f>
        <v>80.025076277012545</v>
      </c>
      <c r="G9" s="37">
        <f>BDbDT_calcs!G55</f>
        <v>79.11008771783051</v>
      </c>
      <c r="H9" s="37">
        <f>BDbDT_calcs!H55</f>
        <v>78.19454283301944</v>
      </c>
      <c r="I9" s="37">
        <f>BDbDT_calcs!I55</f>
        <v>77.998695611751359</v>
      </c>
      <c r="J9" s="37">
        <f>BDbDT_calcs!J55</f>
        <v>77.781843285496066</v>
      </c>
      <c r="K9" s="37">
        <f>BDbDT_calcs!K55</f>
        <v>77.534666245157581</v>
      </c>
      <c r="L9" s="37">
        <f>BDbDT_calcs!L55</f>
        <v>77.270248485634923</v>
      </c>
      <c r="M9" s="37">
        <f>BDbDT_calcs!M55</f>
        <v>76.982058491727344</v>
      </c>
      <c r="N9" s="37">
        <f>BDbDT_calcs!N55</f>
        <v>76.683423995016526</v>
      </c>
      <c r="O9" s="37">
        <f>BDbDT_calcs!O55</f>
        <v>76.347373630162409</v>
      </c>
      <c r="P9" s="37">
        <f>BDbDT_calcs!P55</f>
        <v>75.993822583380521</v>
      </c>
      <c r="Q9" s="37">
        <f>BDbDT_calcs!Q55</f>
        <v>75.62249238344441</v>
      </c>
      <c r="R9" s="37">
        <f>BDbDT_calcs!R55</f>
        <v>75.239980218788745</v>
      </c>
      <c r="S9" s="37">
        <f>BDbDT_calcs!S55</f>
        <v>74.834627474095612</v>
      </c>
      <c r="T9" s="37">
        <f>BDbDT_calcs!T55</f>
        <v>74.430896878003566</v>
      </c>
      <c r="U9" s="37">
        <f>BDbDT_calcs!U55</f>
        <v>74.042894805653972</v>
      </c>
      <c r="V9" s="37">
        <f>BDbDT_calcs!V55</f>
        <v>73.656018200115483</v>
      </c>
      <c r="W9" s="37">
        <f>BDbDT_calcs!W55</f>
        <v>73.306258196600723</v>
      </c>
      <c r="X9" s="37">
        <f>BDbDT_calcs!X55</f>
        <v>72.957068268978816</v>
      </c>
      <c r="Y9" s="37">
        <f>BDbDT_calcs!Y55</f>
        <v>72.630581471685758</v>
      </c>
      <c r="Z9" s="37">
        <f>BDbDT_calcs!Z55</f>
        <v>72.319345244724332</v>
      </c>
      <c r="AA9" s="37">
        <f>BDbDT_calcs!AA55</f>
        <v>72.015628552958347</v>
      </c>
      <c r="AB9" s="37">
        <f>BDbDT_calcs!AB55</f>
        <v>71.72679115319275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9006.2808224343189</v>
      </c>
      <c r="C2" s="37">
        <f>BDbDT_calcs!C58</f>
        <v>9260.3854034677061</v>
      </c>
      <c r="D2" s="37">
        <f>BDbDT_calcs!D58</f>
        <v>9416.9010526174061</v>
      </c>
      <c r="E2" s="37">
        <f>BDbDT_calcs!E58</f>
        <v>9573.6501443719917</v>
      </c>
      <c r="F2" s="37">
        <f>BDbDT_calcs!F58</f>
        <v>9731.4606123722097</v>
      </c>
      <c r="G2" s="37">
        <f>BDbDT_calcs!G58</f>
        <v>9890.627654707172</v>
      </c>
      <c r="H2" s="37">
        <f>BDbDT_calcs!H58</f>
        <v>10050.482990585291</v>
      </c>
      <c r="I2" s="37">
        <f>BDbDT_calcs!I58</f>
        <v>10304.69633450149</v>
      </c>
      <c r="J2" s="37">
        <f>BDbDT_calcs!J58</f>
        <v>10559.876301738001</v>
      </c>
      <c r="K2" s="37">
        <f>BDbDT_calcs!K58</f>
        <v>10815.782748731906</v>
      </c>
      <c r="L2" s="37">
        <f>BDbDT_calcs!L58</f>
        <v>11071.432672636358</v>
      </c>
      <c r="M2" s="37">
        <f>BDbDT_calcs!M58</f>
        <v>11326.553422231125</v>
      </c>
      <c r="N2" s="37">
        <f>BDbDT_calcs!N58</f>
        <v>11579.885662599576</v>
      </c>
      <c r="O2" s="37">
        <f>BDbDT_calcs!O58</f>
        <v>11830.865179771623</v>
      </c>
      <c r="P2" s="37">
        <f>BDbDT_calcs!P58</f>
        <v>12077.8226068147</v>
      </c>
      <c r="Q2" s="37">
        <f>BDbDT_calcs!Q58</f>
        <v>12320.329502770233</v>
      </c>
      <c r="R2" s="37">
        <f>BDbDT_calcs!R58</f>
        <v>12556.310095301205</v>
      </c>
      <c r="S2" s="37">
        <f>BDbDT_calcs!S58</f>
        <v>12787.305730937676</v>
      </c>
      <c r="T2" s="37">
        <f>BDbDT_calcs!T58</f>
        <v>13010.744729124237</v>
      </c>
      <c r="U2" s="37">
        <f>BDbDT_calcs!U58</f>
        <v>13227.036408084259</v>
      </c>
      <c r="V2" s="37">
        <f>BDbDT_calcs!V58</f>
        <v>13432.689102391503</v>
      </c>
      <c r="W2" s="37">
        <f>BDbDT_calcs!W58</f>
        <v>13628.116498019497</v>
      </c>
      <c r="X2" s="37">
        <f>BDbDT_calcs!X58</f>
        <v>13812.194017867323</v>
      </c>
      <c r="Y2" s="37">
        <f>BDbDT_calcs!Y58</f>
        <v>13990.283832458326</v>
      </c>
      <c r="Z2" s="37">
        <f>BDbDT_calcs!Z58</f>
        <v>14156.999058077126</v>
      </c>
      <c r="AA2" s="37">
        <f>BDbDT_calcs!AA58</f>
        <v>14312.835111115926</v>
      </c>
      <c r="AB2" s="37">
        <f>BDbDT_calcs!AB58</f>
        <v>14458.740117076652</v>
      </c>
    </row>
    <row r="3" spans="1:28" x14ac:dyDescent="0.25">
      <c r="A3" s="4" t="s">
        <v>216</v>
      </c>
      <c r="B3" s="37">
        <f>BDbDT_calcs!B59</f>
        <v>8216.6887703481552</v>
      </c>
      <c r="C3" s="37">
        <f>BDbDT_calcs!C59</f>
        <v>8426.6333082678811</v>
      </c>
      <c r="D3" s="37">
        <f>BDbDT_calcs!D59</f>
        <v>8548.1922255721893</v>
      </c>
      <c r="E3" s="37">
        <f>BDbDT_calcs!E59</f>
        <v>8674.3830210509077</v>
      </c>
      <c r="F3" s="37">
        <f>BDbDT_calcs!F59</f>
        <v>8807.6672119718387</v>
      </c>
      <c r="G3" s="37">
        <f>BDbDT_calcs!G59</f>
        <v>8948.5225677908165</v>
      </c>
      <c r="H3" s="37">
        <f>BDbDT_calcs!H59</f>
        <v>9097.7903081048189</v>
      </c>
      <c r="I3" s="37">
        <f>BDbDT_calcs!I59</f>
        <v>9340.057769947387</v>
      </c>
      <c r="J3" s="37">
        <f>BDbDT_calcs!J59</f>
        <v>9591.9241787517058</v>
      </c>
      <c r="K3" s="37">
        <f>BDbDT_calcs!K59</f>
        <v>9851.1155785199717</v>
      </c>
      <c r="L3" s="37">
        <f>BDbDT_calcs!L59</f>
        <v>10117.555972533852</v>
      </c>
      <c r="M3" s="37">
        <f>BDbDT_calcs!M59</f>
        <v>10390.746881150742</v>
      </c>
      <c r="N3" s="37">
        <f>BDbDT_calcs!N59</f>
        <v>10668.554724689207</v>
      </c>
      <c r="O3" s="37">
        <f>BDbDT_calcs!O59</f>
        <v>10948.869074725333</v>
      </c>
      <c r="P3" s="37">
        <f>BDbDT_calcs!P59</f>
        <v>11231.189573255468</v>
      </c>
      <c r="Q3" s="37">
        <f>BDbDT_calcs!Q59</f>
        <v>11512.361814042462</v>
      </c>
      <c r="R3" s="37">
        <f>BDbDT_calcs!R59</f>
        <v>11791.381764533098</v>
      </c>
      <c r="S3" s="37">
        <f>BDbDT_calcs!S59</f>
        <v>12067.519605171556</v>
      </c>
      <c r="T3" s="37">
        <f>BDbDT_calcs!T59</f>
        <v>12338.156279597446</v>
      </c>
      <c r="U3" s="37">
        <f>BDbDT_calcs!U59</f>
        <v>12601.883960415033</v>
      </c>
      <c r="V3" s="37">
        <f>BDbDT_calcs!V59</f>
        <v>12855.52487251307</v>
      </c>
      <c r="W3" s="37">
        <f>BDbDT_calcs!W59</f>
        <v>13096.074727555228</v>
      </c>
      <c r="X3" s="37">
        <f>BDbDT_calcs!X59</f>
        <v>13323.760256310639</v>
      </c>
      <c r="Y3" s="37">
        <f>BDbDT_calcs!Y59</f>
        <v>13544.389291325429</v>
      </c>
      <c r="Z3" s="37">
        <f>BDbDT_calcs!Z59</f>
        <v>13751.795400056049</v>
      </c>
      <c r="AA3" s="37">
        <f>BDbDT_calcs!AA59</f>
        <v>13943.377268400884</v>
      </c>
      <c r="AB3" s="37">
        <f>BDbDT_calcs!AB59</f>
        <v>14118.846173402984</v>
      </c>
    </row>
    <row r="4" spans="1:28" x14ac:dyDescent="0.25">
      <c r="A4" s="4" t="s">
        <v>217</v>
      </c>
      <c r="B4" s="37">
        <f>BDbDT_calcs!B60</f>
        <v>17088.385078470317</v>
      </c>
      <c r="C4" s="37">
        <f>BDbDT_calcs!C60</f>
        <v>17544.925833852412</v>
      </c>
      <c r="D4" s="37">
        <f>BDbDT_calcs!D60</f>
        <v>17815.517081352722</v>
      </c>
      <c r="E4" s="37">
        <f>BDbDT_calcs!E60</f>
        <v>18089.317898966747</v>
      </c>
      <c r="F4" s="37">
        <f>BDbDT_calcs!F60</f>
        <v>18370.055513663596</v>
      </c>
      <c r="G4" s="37">
        <f>BDbDT_calcs!G60</f>
        <v>18657.835418085633</v>
      </c>
      <c r="H4" s="37">
        <f>BDbDT_calcs!H60</f>
        <v>18953.374902135882</v>
      </c>
      <c r="I4" s="37">
        <f>BDbDT_calcs!I60</f>
        <v>19432.608900270312</v>
      </c>
      <c r="J4" s="37">
        <f>BDbDT_calcs!J60</f>
        <v>19920.675499532575</v>
      </c>
      <c r="K4" s="37">
        <f>BDbDT_calcs!K60</f>
        <v>20414.13161043105</v>
      </c>
      <c r="L4" s="37">
        <f>BDbDT_calcs!L60</f>
        <v>20911.897794626806</v>
      </c>
      <c r="M4" s="37">
        <f>BDbDT_calcs!M60</f>
        <v>21413.137736904224</v>
      </c>
      <c r="N4" s="37">
        <f>BDbDT_calcs!N60</f>
        <v>21913.890986884271</v>
      </c>
      <c r="O4" s="37">
        <f>BDbDT_calcs!O60</f>
        <v>22411.808454229576</v>
      </c>
      <c r="P4" s="37">
        <f>BDbDT_calcs!P60</f>
        <v>22903.759271439467</v>
      </c>
      <c r="Q4" s="37">
        <f>BDbDT_calcs!Q60</f>
        <v>23386.333038083885</v>
      </c>
      <c r="R4" s="37">
        <f>BDbDT_calcs!R60</f>
        <v>23856.119372156176</v>
      </c>
      <c r="S4" s="37">
        <f>BDbDT_calcs!S60</f>
        <v>24313.741063667811</v>
      </c>
      <c r="T4" s="37">
        <f>BDbDT_calcs!T60</f>
        <v>24754.104667740154</v>
      </c>
      <c r="U4" s="37">
        <f>BDbDT_calcs!U60</f>
        <v>25176.496408016941</v>
      </c>
      <c r="V4" s="37">
        <f>BDbDT_calcs!V60</f>
        <v>25573.451951855044</v>
      </c>
      <c r="W4" s="37">
        <f>BDbDT_calcs!W60</f>
        <v>25942.120395537837</v>
      </c>
      <c r="X4" s="37">
        <f>BDbDT_calcs!X60</f>
        <v>26282.081711261577</v>
      </c>
      <c r="Y4" s="37">
        <f>BDbDT_calcs!Y60</f>
        <v>26605.918776697858</v>
      </c>
      <c r="Z4" s="37">
        <f>BDbDT_calcs!Z60</f>
        <v>26901.029845294208</v>
      </c>
      <c r="AA4" s="37">
        <f>BDbDT_calcs!AA60</f>
        <v>27164.799743935844</v>
      </c>
      <c r="AB4" s="37">
        <f>BDbDT_calcs!AB60</f>
        <v>27398.577981105973</v>
      </c>
    </row>
    <row r="5" spans="1:28" x14ac:dyDescent="0.25">
      <c r="A5" s="4" t="s">
        <v>218</v>
      </c>
      <c r="B5" s="37">
        <f>BDbDT_calcs!B61</f>
        <v>173.52359064680189</v>
      </c>
      <c r="C5" s="37">
        <f>BDbDT_calcs!C61</f>
        <v>177.87108643067296</v>
      </c>
      <c r="D5" s="37">
        <f>BDbDT_calcs!D61</f>
        <v>180.35983345747147</v>
      </c>
      <c r="E5" s="37">
        <f>BDbDT_calcs!E61</f>
        <v>182.87390520290452</v>
      </c>
      <c r="F5" s="37">
        <f>BDbDT_calcs!F61</f>
        <v>185.47353403037803</v>
      </c>
      <c r="G5" s="37">
        <f>BDbDT_calcs!G61</f>
        <v>188.16434679455423</v>
      </c>
      <c r="H5" s="37">
        <f>BDbDT_calcs!H61</f>
        <v>190.94247948744868</v>
      </c>
      <c r="I5" s="37">
        <f>BDbDT_calcs!I61</f>
        <v>195.60614552660888</v>
      </c>
      <c r="J5" s="37">
        <f>BDbDT_calcs!J61</f>
        <v>200.3976747702778</v>
      </c>
      <c r="K5" s="37">
        <f>BDbDT_calcs!K61</f>
        <v>205.30693224080733</v>
      </c>
      <c r="L5" s="37">
        <f>BDbDT_calcs!L61</f>
        <v>210.33661219932335</v>
      </c>
      <c r="M5" s="37">
        <f>BDbDT_calcs!M61</f>
        <v>215.47825993210324</v>
      </c>
      <c r="N5" s="37">
        <f>BDbDT_calcs!N61</f>
        <v>220.74434531949115</v>
      </c>
      <c r="O5" s="37">
        <f>BDbDT_calcs!O61</f>
        <v>226.08087745329303</v>
      </c>
      <c r="P5" s="37">
        <f>BDbDT_calcs!P61</f>
        <v>231.51369078330677</v>
      </c>
      <c r="Q5" s="37">
        <f>BDbDT_calcs!Q61</f>
        <v>236.99672501366217</v>
      </c>
      <c r="R5" s="37">
        <f>BDbDT_calcs!R61</f>
        <v>242.524236758694</v>
      </c>
      <c r="S5" s="37">
        <f>BDbDT_calcs!S61</f>
        <v>248.12934738861588</v>
      </c>
      <c r="T5" s="37">
        <f>BDbDT_calcs!T61</f>
        <v>253.7315570424947</v>
      </c>
      <c r="U5" s="37">
        <f>BDbDT_calcs!U61</f>
        <v>259.33265570875858</v>
      </c>
      <c r="V5" s="37">
        <f>BDbDT_calcs!V61</f>
        <v>264.89999112322664</v>
      </c>
      <c r="W5" s="37">
        <f>BDbDT_calcs!W61</f>
        <v>270.3807823188987</v>
      </c>
      <c r="X5" s="37">
        <f>BDbDT_calcs!X61</f>
        <v>275.75192530554307</v>
      </c>
      <c r="Y5" s="37">
        <f>BDbDT_calcs!Y61</f>
        <v>281.07838801949185</v>
      </c>
      <c r="Z5" s="37">
        <f>BDbDT_calcs!Z61</f>
        <v>286.27855493769482</v>
      </c>
      <c r="AA5" s="37">
        <f>BDbDT_calcs!AA61</f>
        <v>291.34420650552158</v>
      </c>
      <c r="AB5" s="37">
        <f>BDbDT_calcs!AB61</f>
        <v>296.238970016331</v>
      </c>
    </row>
    <row r="6" spans="1:28" x14ac:dyDescent="0.25">
      <c r="A6" s="4" t="s">
        <v>219</v>
      </c>
      <c r="B6" s="37">
        <f>BDbDT_calcs!B62</f>
        <v>212.43424162961639</v>
      </c>
      <c r="C6" s="37">
        <f>BDbDT_calcs!C62</f>
        <v>219.57122748331315</v>
      </c>
      <c r="D6" s="37">
        <f>BDbDT_calcs!D62</f>
        <v>224.58981596158293</v>
      </c>
      <c r="E6" s="37">
        <f>BDbDT_calcs!E62</f>
        <v>229.95667987993934</v>
      </c>
      <c r="F6" s="37">
        <f>BDbDT_calcs!F62</f>
        <v>235.74037216804285</v>
      </c>
      <c r="G6" s="37">
        <f>BDbDT_calcs!G62</f>
        <v>241.93832236571222</v>
      </c>
      <c r="H6" s="37">
        <f>BDbDT_calcs!H62</f>
        <v>248.56906057135566</v>
      </c>
      <c r="I6" s="37">
        <f>BDbDT_calcs!I62</f>
        <v>257.99774349910689</v>
      </c>
      <c r="J6" s="37">
        <f>BDbDT_calcs!J62</f>
        <v>267.85426625157078</v>
      </c>
      <c r="K6" s="37">
        <f>BDbDT_calcs!K62</f>
        <v>278.09386534546348</v>
      </c>
      <c r="L6" s="37">
        <f>BDbDT_calcs!L62</f>
        <v>288.79599304716447</v>
      </c>
      <c r="M6" s="37">
        <f>BDbDT_calcs!M62</f>
        <v>299.91425044001539</v>
      </c>
      <c r="N6" s="37">
        <f>BDbDT_calcs!N62</f>
        <v>311.41878519814884</v>
      </c>
      <c r="O6" s="37">
        <f>BDbDT_calcs!O62</f>
        <v>323.2618247061601</v>
      </c>
      <c r="P6" s="37">
        <f>BDbDT_calcs!P62</f>
        <v>335.41986958614507</v>
      </c>
      <c r="Q6" s="37">
        <f>BDbDT_calcs!Q62</f>
        <v>347.83353750503483</v>
      </c>
      <c r="R6" s="37">
        <f>BDbDT_calcs!R62</f>
        <v>360.47344000672615</v>
      </c>
      <c r="S6" s="37">
        <f>BDbDT_calcs!S62</f>
        <v>373.32827768046832</v>
      </c>
      <c r="T6" s="37">
        <f>BDbDT_calcs!T62</f>
        <v>386.35702576004189</v>
      </c>
      <c r="U6" s="37">
        <f>BDbDT_calcs!U62</f>
        <v>399.47489520171416</v>
      </c>
      <c r="V6" s="37">
        <f>BDbDT_calcs!V62</f>
        <v>412.69201938054232</v>
      </c>
      <c r="W6" s="37">
        <f>BDbDT_calcs!W62</f>
        <v>425.97748296802831</v>
      </c>
      <c r="X6" s="37">
        <f>BDbDT_calcs!X62</f>
        <v>439.36365517225175</v>
      </c>
      <c r="Y6" s="37">
        <f>BDbDT_calcs!Y62</f>
        <v>452.81815780073828</v>
      </c>
      <c r="Z6" s="37">
        <f>BDbDT_calcs!Z62</f>
        <v>466.35069966102731</v>
      </c>
      <c r="AA6" s="37">
        <f>BDbDT_calcs!AA62</f>
        <v>479.95199124073127</v>
      </c>
      <c r="AB6" s="37">
        <f>BDbDT_calcs!AB62</f>
        <v>493.58250040824873</v>
      </c>
    </row>
    <row r="7" spans="1:28" x14ac:dyDescent="0.25">
      <c r="A7" s="4" t="s">
        <v>220</v>
      </c>
      <c r="B7" s="37">
        <f>BDbDT_calcs!B63</f>
        <v>410.50740978285177</v>
      </c>
      <c r="C7" s="37">
        <f>BDbDT_calcs!C63</f>
        <v>423.704828818115</v>
      </c>
      <c r="D7" s="37">
        <f>BDbDT_calcs!D63</f>
        <v>432.87283314188073</v>
      </c>
      <c r="E7" s="37">
        <f>BDbDT_calcs!E63</f>
        <v>442.87704310140174</v>
      </c>
      <c r="F7" s="37">
        <f>BDbDT_calcs!F63</f>
        <v>452.98836674728966</v>
      </c>
      <c r="G7" s="37">
        <f>BDbDT_calcs!G63</f>
        <v>463.85525073229036</v>
      </c>
      <c r="H7" s="37">
        <f>BDbDT_calcs!H63</f>
        <v>475.05978737299421</v>
      </c>
      <c r="I7" s="37">
        <f>BDbDT_calcs!I63</f>
        <v>491.00419008498477</v>
      </c>
      <c r="J7" s="37">
        <f>BDbDT_calcs!J63</f>
        <v>507.40746272952487</v>
      </c>
      <c r="K7" s="37">
        <f>BDbDT_calcs!K63</f>
        <v>524.8292295251772</v>
      </c>
      <c r="L7" s="37">
        <f>BDbDT_calcs!L63</f>
        <v>542.78519394849411</v>
      </c>
      <c r="M7" s="37">
        <f>BDbDT_calcs!M63</f>
        <v>561.4514417502096</v>
      </c>
      <c r="N7" s="37">
        <f>BDbDT_calcs!N63</f>
        <v>580.59264308450747</v>
      </c>
      <c r="O7" s="37">
        <f>BDbDT_calcs!O63</f>
        <v>600.26100769867867</v>
      </c>
      <c r="P7" s="37">
        <f>BDbDT_calcs!P63</f>
        <v>620.62287990350376</v>
      </c>
      <c r="Q7" s="37">
        <f>BDbDT_calcs!Q63</f>
        <v>641.60809485145114</v>
      </c>
      <c r="R7" s="37">
        <f>BDbDT_calcs!R63</f>
        <v>663.10232053065488</v>
      </c>
      <c r="S7" s="37">
        <f>BDbDT_calcs!S63</f>
        <v>685.00042344609301</v>
      </c>
      <c r="T7" s="37">
        <f>BDbDT_calcs!T63</f>
        <v>707.40620296192219</v>
      </c>
      <c r="U7" s="37">
        <f>BDbDT_calcs!U63</f>
        <v>730.13796828643103</v>
      </c>
      <c r="V7" s="37">
        <f>BDbDT_calcs!V63</f>
        <v>752.98289772242902</v>
      </c>
      <c r="W7" s="37">
        <f>BDbDT_calcs!W63</f>
        <v>776.39880488395443</v>
      </c>
      <c r="X7" s="37">
        <f>BDbDT_calcs!X63</f>
        <v>800.01500703413467</v>
      </c>
      <c r="Y7" s="37">
        <f>BDbDT_calcs!Y63</f>
        <v>824.05686255487922</v>
      </c>
      <c r="Z7" s="37">
        <f>BDbDT_calcs!Z63</f>
        <v>848.20697355609047</v>
      </c>
      <c r="AA7" s="37">
        <f>BDbDT_calcs!AA63</f>
        <v>872.58398164999494</v>
      </c>
      <c r="AB7" s="37">
        <f>BDbDT_calcs!AB63</f>
        <v>897.31782534729268</v>
      </c>
    </row>
    <row r="8" spans="1:28" x14ac:dyDescent="0.25">
      <c r="A8" s="4" t="s">
        <v>221</v>
      </c>
      <c r="B8" s="37">
        <f>BDbDT_calcs!B64</f>
        <v>1089.6463812484242</v>
      </c>
      <c r="C8" s="37">
        <f>BDbDT_calcs!C64</f>
        <v>1139.1488346559493</v>
      </c>
      <c r="D8" s="37">
        <f>BDbDT_calcs!D64</f>
        <v>1177.7220276795579</v>
      </c>
      <c r="E8" s="37">
        <f>BDbDT_calcs!E64</f>
        <v>1217.2972661252625</v>
      </c>
      <c r="F8" s="37">
        <f>BDbDT_calcs!F64</f>
        <v>1257.8948956791255</v>
      </c>
      <c r="G8" s="37">
        <f>BDbDT_calcs!G64</f>
        <v>1299.6756749231224</v>
      </c>
      <c r="H8" s="37">
        <f>BDbDT_calcs!H64</f>
        <v>1343.0722328970905</v>
      </c>
      <c r="I8" s="37">
        <f>BDbDT_calcs!I64</f>
        <v>1400.9224182059111</v>
      </c>
      <c r="J8" s="37">
        <f>BDbDT_calcs!J64</f>
        <v>1460.8285015282918</v>
      </c>
      <c r="K8" s="37">
        <f>BDbDT_calcs!K64</f>
        <v>1523.1674602525402</v>
      </c>
      <c r="L8" s="37">
        <f>BDbDT_calcs!L64</f>
        <v>1588.2489233387694</v>
      </c>
      <c r="M8" s="37">
        <f>BDbDT_calcs!M64</f>
        <v>1655.7364552806448</v>
      </c>
      <c r="N8" s="37">
        <f>BDbDT_calcs!N64</f>
        <v>1726.1091066514359</v>
      </c>
      <c r="O8" s="37">
        <f>BDbDT_calcs!O64</f>
        <v>1799.1342765623717</v>
      </c>
      <c r="P8" s="37">
        <f>BDbDT_calcs!P64</f>
        <v>1874.7807769137589</v>
      </c>
      <c r="Q8" s="37">
        <f>BDbDT_calcs!Q64</f>
        <v>1953.1787791240367</v>
      </c>
      <c r="R8" s="37">
        <f>BDbDT_calcs!R64</f>
        <v>2033.9795870433213</v>
      </c>
      <c r="S8" s="37">
        <f>BDbDT_calcs!S64</f>
        <v>2117.492836613379</v>
      </c>
      <c r="T8" s="37">
        <f>BDbDT_calcs!T64</f>
        <v>2203.4529843997334</v>
      </c>
      <c r="U8" s="37">
        <f>BDbDT_calcs!U64</f>
        <v>2291.747525194774</v>
      </c>
      <c r="V8" s="37">
        <f>BDbDT_calcs!V64</f>
        <v>2382.0992416087133</v>
      </c>
      <c r="W8" s="37">
        <f>BDbDT_calcs!W64</f>
        <v>2474.1974731909427</v>
      </c>
      <c r="X8" s="37">
        <f>BDbDT_calcs!X64</f>
        <v>2568.3553250569053</v>
      </c>
      <c r="Y8" s="37">
        <f>BDbDT_calcs!Y64</f>
        <v>2664.0701953372441</v>
      </c>
      <c r="Z8" s="37">
        <f>BDbDT_calcs!Z64</f>
        <v>2761.3082357367084</v>
      </c>
      <c r="AA8" s="37">
        <f>BDbDT_calcs!AA64</f>
        <v>2859.4439737692255</v>
      </c>
      <c r="AB8" s="37">
        <f>BDbDT_calcs!AB64</f>
        <v>2958.3795074490222</v>
      </c>
    </row>
    <row r="9" spans="1:28" x14ac:dyDescent="0.25">
      <c r="A9" s="4" t="s">
        <v>222</v>
      </c>
      <c r="B9" s="37">
        <f>BDbDT_calcs!B65</f>
        <v>16744.867692973043</v>
      </c>
      <c r="C9" s="37">
        <f>BDbDT_calcs!C65</f>
        <v>17166.401818407237</v>
      </c>
      <c r="D9" s="37">
        <f>BDbDT_calcs!D65</f>
        <v>17405.918538918217</v>
      </c>
      <c r="E9" s="37">
        <f>BDbDT_calcs!E65</f>
        <v>17649.229313379234</v>
      </c>
      <c r="F9" s="37">
        <f>BDbDT_calcs!F65</f>
        <v>17899.83321320474</v>
      </c>
      <c r="G9" s="37">
        <f>BDbDT_calcs!G65</f>
        <v>18158.322624403572</v>
      </c>
      <c r="H9" s="37">
        <f>BDbDT_calcs!H65</f>
        <v>18424.276733911585</v>
      </c>
      <c r="I9" s="37">
        <f>BDbDT_calcs!I65</f>
        <v>18868.722811305241</v>
      </c>
      <c r="J9" s="37">
        <f>BDbDT_calcs!J65</f>
        <v>19321.568239272696</v>
      </c>
      <c r="K9" s="37">
        <f>BDbDT_calcs!K65</f>
        <v>19779.555920187267</v>
      </c>
      <c r="L9" s="37">
        <f>BDbDT_calcs!L65</f>
        <v>20241.122419193693</v>
      </c>
      <c r="M9" s="37">
        <f>BDbDT_calcs!M65</f>
        <v>20705.93192705909</v>
      </c>
      <c r="N9" s="37">
        <f>BDbDT_calcs!N65</f>
        <v>21169.661391151058</v>
      </c>
      <c r="O9" s="37">
        <f>BDbDT_calcs!O65</f>
        <v>21629.776284195927</v>
      </c>
      <c r="P9" s="37">
        <f>BDbDT_calcs!P65</f>
        <v>22084.029765793068</v>
      </c>
      <c r="Q9" s="37">
        <f>BDbDT_calcs!Q65</f>
        <v>22528.374408938082</v>
      </c>
      <c r="R9" s="37">
        <f>BDbDT_calcs!R65</f>
        <v>22960.05411214567</v>
      </c>
      <c r="S9" s="37">
        <f>BDbDT_calcs!S65</f>
        <v>23379.447380808771</v>
      </c>
      <c r="T9" s="37">
        <f>BDbDT_calcs!T65</f>
        <v>23781.411733558216</v>
      </c>
      <c r="U9" s="37">
        <f>BDbDT_calcs!U65</f>
        <v>24165.018774870798</v>
      </c>
      <c r="V9" s="37">
        <f>BDbDT_calcs!V65</f>
        <v>24523.573992724214</v>
      </c>
      <c r="W9" s="37">
        <f>BDbDT_calcs!W65</f>
        <v>24854.716358305148</v>
      </c>
      <c r="X9" s="37">
        <f>BDbDT_calcs!X65</f>
        <v>25157.055984897168</v>
      </c>
      <c r="Y9" s="37">
        <f>BDbDT_calcs!Y65</f>
        <v>25443.225261748088</v>
      </c>
      <c r="Z9" s="37">
        <f>BDbDT_calcs!Z65</f>
        <v>25700.957949317446</v>
      </c>
      <c r="AA9" s="37">
        <f>BDbDT_calcs!AA65</f>
        <v>25928.871732721167</v>
      </c>
      <c r="AB9" s="37">
        <f>BDbDT_calcs!AB65</f>
        <v>26127.791636683254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2026-08-17T20:28:41Z</dcterms:modified>
</cp:coreProperties>
</file>